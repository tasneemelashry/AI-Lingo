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440"/>
  </bookViews>
  <sheets>
    <sheet name="Gantt Chart" sheetId="1" r:id="rId1"/>
    <sheet name="Task Details" sheetId="2" r:id="rId2"/>
    <sheet name="Milestones" sheetId="3" r:id="rId3"/>
    <sheet name="Deliverables" sheetId="4" r:id="rId4"/>
    <sheet name="Resource Allocation" sheetId="5" r:id="rId5"/>
  </sheets>
  <definedNames>
    <definedName name="_xlnm._FilterDatabase" localSheetId="0" hidden="1">'Gantt Chart'!$A$5:$F$21</definedName>
    <definedName name="_xlnm._FilterDatabase" localSheetId="1" hidden="1">'Task Details'!$A$4:$I$19</definedName>
    <definedName name="_xlnm.Print_Titles" localSheetId="0">'Gantt Chart'!$1:$6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<sst xmlns="http://schemas.openxmlformats.org/spreadsheetml/2006/main" count="223" uniqueCount="145">
  <si>
    <t>AI-Lingo | Project Gantt Chart</t>
  </si>
  <si>
    <t>Project period: 08 Oct 2026 – 04 Dec 2026 | Team size: 5 Flutter developers</t>
  </si>
  <si>
    <t>Planning draft: adjust task dates and owners to match the team's final responsibilities.</t>
  </si>
  <si>
    <t>ID</t>
  </si>
  <si>
    <t>Task</t>
  </si>
  <si>
    <t>Workstream</t>
  </si>
  <si>
    <t>Start Date</t>
  </si>
  <si>
    <t>End Date</t>
  </si>
  <si>
    <t>Duration (days)</t>
  </si>
  <si>
    <t>Timeline (daily)</t>
  </si>
  <si>
    <t>Calendar</t>
  </si>
  <si>
    <t>Project Proposal &amp; Requirements</t>
  </si>
  <si>
    <t>Project Management</t>
  </si>
  <si>
    <t>Literature Review &amp; Research</t>
  </si>
  <si>
    <t>Research</t>
  </si>
  <si>
    <t>Project Planning</t>
  </si>
  <si>
    <t>UI/UX Design</t>
  </si>
  <si>
    <t>Design</t>
  </si>
  <si>
    <t>System Architecture &amp; Database Design</t>
  </si>
  <si>
    <t>Architecture</t>
  </si>
  <si>
    <t>Flutter Project Setup</t>
  </si>
  <si>
    <t>Flutter</t>
  </si>
  <si>
    <t>Core UI Development</t>
  </si>
  <si>
    <t>Authentication &amp; User Profile</t>
  </si>
  <si>
    <t>AI Conversation Feature</t>
  </si>
  <si>
    <t>AI Integration</t>
  </si>
  <si>
    <t>Learning &amp; Progress Tracking</t>
  </si>
  <si>
    <t>Backend &amp; Data Integration</t>
  </si>
  <si>
    <t>Integration</t>
  </si>
  <si>
    <t>Feature Integration</t>
  </si>
  <si>
    <t>Testing &amp; Bug Fixing</t>
  </si>
  <si>
    <t>QA</t>
  </si>
  <si>
    <t>Documentation &amp; Report</t>
  </si>
  <si>
    <t>Documentation</t>
  </si>
  <si>
    <t>Final Review &amp; Submission</t>
  </si>
  <si>
    <t>Delivery</t>
  </si>
  <si>
    <t>Legend</t>
  </si>
  <si>
    <t>Blue bar</t>
  </si>
  <si>
    <t>Flutter / AI feature work</t>
  </si>
  <si>
    <t>Teal bar</t>
  </si>
  <si>
    <t>Planning, research, integration, QA, documentation</t>
  </si>
  <si>
    <t>Weekend</t>
  </si>
  <si>
    <t>Weekend background in timeline</t>
  </si>
  <si>
    <t>AI-Lingo | Task Schedule</t>
  </si>
  <si>
    <t>Edit the start/end dates, status, progress, and notes as the project evolves.</t>
  </si>
  <si>
    <t>Status</t>
  </si>
  <si>
    <t>Progress</t>
  </si>
  <si>
    <t>Task Notes</t>
  </si>
  <si>
    <t>Not started</t>
  </si>
  <si>
    <t>Define idea, problem statement, solution, objectives, scope, and requirements.</t>
  </si>
  <si>
    <t>Review related English-learning and AI conversation apps; summarize findings.</t>
  </si>
  <si>
    <t>Confirm work breakdown, responsibilities, milestones, and schedule.</t>
  </si>
  <si>
    <t>Prepare user flows, wireframes, and main screen designs.</t>
  </si>
  <si>
    <t>Plan app architecture, data models, and storage/API structure.</t>
  </si>
  <si>
    <t>Set up project structure, dependencies, navigation, and shared conventions.</t>
  </si>
  <si>
    <t>Implement the main screens and reusable UI components.</t>
  </si>
  <si>
    <t>Implement sign-in/sign-up flow and profile screens.</t>
  </si>
  <si>
    <t>Build the AI-powered English conversation experience.</t>
  </si>
  <si>
    <t>Implement learning activities and progress tracking.</t>
  </si>
  <si>
    <t>Connect app features to required APIs/services and persist data.</t>
  </si>
  <si>
    <t>Integrate features and resolve cross-feature issues.</t>
  </si>
  <si>
    <t>Test user flows, fix bugs, and check stability.</t>
  </si>
  <si>
    <t>Complete technical documentation and project report.</t>
  </si>
  <si>
    <t>Final checks, presentation preparation, and submission.</t>
  </si>
  <si>
    <t>AI-Lingo | Project Milestones</t>
  </si>
  <si>
    <t>Milestone</t>
  </si>
  <si>
    <t>Target Date</t>
  </si>
  <si>
    <t>Success Criteria</t>
  </si>
  <si>
    <t>Proposal &amp; initial planning complete</t>
  </si>
  <si>
    <t>Proposal, requirements, and project plan reviewed</t>
  </si>
  <si>
    <t>Completed</t>
  </si>
  <si>
    <t>UI/UX design complete</t>
  </si>
  <si>
    <t>Main user flows and screen designs approved</t>
  </si>
  <si>
    <t>Architecture &amp; setup complete</t>
  </si>
  <si>
    <t>Architecture and Flutter project foundation ready</t>
  </si>
  <si>
    <t>Core UI complete</t>
  </si>
  <si>
    <t>Main screens and reusable components implemented</t>
  </si>
  <si>
    <t>AI conversation feature ready</t>
  </si>
  <si>
    <t>Conversation flow works in the app</t>
  </si>
  <si>
    <t>Features integrated</t>
  </si>
  <si>
    <t>Core features connected and usable together</t>
  </si>
  <si>
    <t>Testing complete</t>
  </si>
  <si>
    <t>Major bugs resolved and key flows tested</t>
  </si>
  <si>
    <t>Final submission</t>
  </si>
  <si>
    <t>Final report and deliverables submitted</t>
  </si>
  <si>
    <t>Deliverable</t>
  </si>
  <si>
    <t>Description</t>
  </si>
  <si>
    <t>Due Date</t>
  </si>
  <si>
    <t>Responsible</t>
  </si>
  <si>
    <t>D1</t>
  </si>
  <si>
    <t>Project Proposal</t>
  </si>
  <si>
    <t>Project idea, problem, solution, objectives and scope</t>
  </si>
  <si>
    <t>All Members</t>
  </si>
  <si>
    <t>Done</t>
  </si>
  <si>
    <t>D2</t>
  </si>
  <si>
    <t>Requirements Document</t>
  </si>
  <si>
    <t>Functional and non-functional requirements</t>
  </si>
  <si>
    <t>Yahia Yasser</t>
  </si>
  <si>
    <t>D3</t>
  </si>
  <si>
    <t>Figma screens and user flows</t>
  </si>
  <si>
    <t>D4</t>
  </si>
  <si>
    <t>Flutter Application</t>
  </si>
  <si>
    <t>Main application screens and features</t>
  </si>
  <si>
    <t>D5</t>
  </si>
  <si>
    <t>AI conversation functionality</t>
  </si>
  <si>
    <t>Tasneem Elsayed</t>
  </si>
  <si>
    <t>D7</t>
  </si>
  <si>
    <t>Testing Report</t>
  </si>
  <si>
    <t>Test cases and testing results</t>
  </si>
  <si>
    <t>Nour Shaaban</t>
  </si>
  <si>
    <t>D8</t>
  </si>
  <si>
    <t>Final Presentation</t>
  </si>
  <si>
    <t>Presentation and demo preparation</t>
  </si>
  <si>
    <t>Member</t>
  </si>
  <si>
    <t>Role</t>
  </si>
  <si>
    <t>Responsibilities</t>
  </si>
  <si>
    <t>Assigned Tasks</t>
  </si>
  <si>
    <t>Tasneem Elsayed
Raneem A.shawky
Toqa Shamaa
Nour Shaaban
Yahia Yasser</t>
  </si>
  <si>
    <t>Project Manager</t>
  </si>
  <si>
    <t>Planning and progress tracking</t>
  </si>
  <si>
    <t>Proposal, Planning, Documentation</t>
  </si>
  <si>
    <t>UI/UX Designer 
Flutter Developer</t>
  </si>
  <si>
    <t>UI design &amp; App development and state management</t>
  </si>
  <si>
    <t>UI/UX , Core UI, Authentication</t>
  </si>
  <si>
    <t>AI Engineer</t>
  </si>
  <si>
    <t>AI model/API integration</t>
  </si>
  <si>
    <t>AI Conversation</t>
  </si>
  <si>
    <t>Nour Shaaban
Toqa Shamaa</t>
  </si>
  <si>
    <t>Backend &amp; Testing</t>
  </si>
  <si>
    <t>Data integration and testing</t>
  </si>
  <si>
    <t>Backend, Testing</t>
  </si>
  <si>
    <t>Resource</t>
  </si>
  <si>
    <t>Purpose</t>
  </si>
  <si>
    <t>Flutter &amp; Dart</t>
  </si>
  <si>
    <t>Mobile application development</t>
  </si>
  <si>
    <t>Figma</t>
  </si>
  <si>
    <t>UI/UX design</t>
  </si>
  <si>
    <t>GitHub</t>
  </si>
  <si>
    <t>Version control and collaboration</t>
  </si>
  <si>
    <t>Database / Backend</t>
  </si>
  <si>
    <t>Data storage and integration</t>
  </si>
  <si>
    <t>AI API / Model</t>
  </si>
  <si>
    <t>AI conversation feature</t>
  </si>
  <si>
    <t>Testing Devices</t>
  </si>
  <si>
    <t>Application testing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</si>
</sst>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-mmm\-yyyy"/>
    <numFmt numFmtId="179" formatCode="dd\-mmm"/>
  </numFmts>
  <fonts count="3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8"/>
      <color rgb="FFFFFFFF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i/>
      <sz val="11"/>
      <color rgb="FF666666"/>
      <name val="Calibri"/>
      <charset val="134"/>
      <scheme val="minor"/>
    </font>
    <font>
      <b/>
      <sz val="20"/>
      <color rgb="FFFFFFFF"/>
      <name val="Aptos Display"/>
      <charset val="134"/>
    </font>
    <font>
      <i/>
      <sz val="10"/>
      <color rgb="FF404040"/>
      <name val="Aptos"/>
      <charset val="134"/>
    </font>
    <font>
      <sz val="9"/>
      <color rgb="FF666666"/>
      <name val="Aptos"/>
      <charset val="134"/>
    </font>
    <font>
      <b/>
      <sz val="10"/>
      <color rgb="FFFFFFFF"/>
      <name val="Calibri"/>
      <charset val="134"/>
      <scheme val="minor"/>
    </font>
    <font>
      <b/>
      <sz val="8"/>
      <color rgb="FFFFFFFF"/>
      <name val="Calibri"/>
      <charset val="134"/>
      <scheme val="minor"/>
    </font>
    <font>
      <b/>
      <sz val="11"/>
      <color rgb="FF17365D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0F6B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D6DEE8"/>
      </bottom>
      <diagonal/>
    </border>
    <border>
      <left/>
      <right/>
      <top/>
      <bottom style="thin">
        <color rgb="FFFFFFFF"/>
      </bottom>
      <diagonal/>
    </border>
    <border>
      <left style="hair">
        <color rgb="FFFFFFFF"/>
      </left>
      <right style="hair">
        <color rgb="FFFFFFFF"/>
      </right>
      <top/>
      <bottom/>
      <diagonal/>
    </border>
    <border>
      <left/>
      <right/>
      <top/>
      <bottom style="hair">
        <color rgb="FFD6DEE8"/>
      </bottom>
      <diagonal/>
    </border>
    <border>
      <left style="hair">
        <color rgb="FFE7ECF2"/>
      </left>
      <right style="hair">
        <color rgb="FFE7ECF2"/>
      </right>
      <top/>
      <bottom style="hair">
        <color rgb="FFE7EC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8" borderId="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9" applyNumberFormat="0" applyAlignment="0" applyProtection="0">
      <alignment vertical="center"/>
    </xf>
    <xf numFmtId="0" fontId="21" fillId="10" borderId="10" applyNumberFormat="0" applyAlignment="0" applyProtection="0">
      <alignment vertical="center"/>
    </xf>
    <xf numFmtId="0" fontId="22" fillId="10" borderId="9" applyNumberFormat="0" applyAlignment="0" applyProtection="0">
      <alignment vertical="center"/>
    </xf>
    <xf numFmtId="0" fontId="23" fillId="11" borderId="11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16" fontId="0" fillId="0" borderId="0" xfId="0" applyNumberFormat="1" applyAlignment="1">
      <alignment wrapText="1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178" fontId="0" fillId="4" borderId="1" xfId="0" applyNumberForma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78" fontId="0" fillId="0" borderId="1" xfId="0" applyNumberFormat="1" applyBorder="1" applyAlignment="1">
      <alignment vertical="center" wrapText="1"/>
    </xf>
    <xf numFmtId="0" fontId="4" fillId="0" borderId="0" xfId="0" applyFont="1"/>
    <xf numFmtId="9" fontId="0" fillId="0" borderId="1" xfId="0" applyNumberFormat="1" applyBorder="1" applyAlignment="1">
      <alignment vertical="center" wrapText="1"/>
    </xf>
    <xf numFmtId="9" fontId="0" fillId="4" borderId="1" xfId="0" applyNumberFormat="1" applyFill="1" applyBorder="1" applyAlignment="1">
      <alignment vertical="center" wrapText="1"/>
    </xf>
    <xf numFmtId="0" fontId="5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79" fontId="9" fillId="5" borderId="3" xfId="0" applyNumberFormat="1" applyFont="1" applyFill="1" applyBorder="1" applyAlignment="1">
      <alignment horizontal="center" vertical="center" textRotation="90"/>
    </xf>
    <xf numFmtId="179" fontId="9" fillId="6" borderId="3" xfId="0" applyNumberFormat="1" applyFont="1" applyFill="1" applyBorder="1" applyAlignment="1">
      <alignment horizontal="center" vertical="center" textRotation="90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78" fontId="0" fillId="0" borderId="4" xfId="0" applyNumberFormat="1" applyBorder="1" applyAlignment="1">
      <alignment vertical="center"/>
    </xf>
    <xf numFmtId="1" fontId="0" fillId="0" borderId="4" xfId="0" applyNumberFormat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4" xfId="0" applyFill="1" applyBorder="1" applyAlignment="1">
      <alignment vertical="center" wrapText="1"/>
    </xf>
    <xf numFmtId="178" fontId="0" fillId="4" borderId="4" xfId="0" applyNumberFormat="1" applyFill="1" applyBorder="1" applyAlignment="1">
      <alignment vertical="center"/>
    </xf>
    <xf numFmtId="1" fontId="0" fillId="4" borderId="4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10" fillId="0" borderId="0" xfId="0" applyFont="1"/>
    <xf numFmtId="0" fontId="0" fillId="3" borderId="0" xfId="0" applyFill="1"/>
    <xf numFmtId="0" fontId="0" fillId="5" borderId="0" xfId="0" applyFill="1"/>
    <xf numFmtId="0" fontId="0" fillId="7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ill>
        <patternFill patternType="solid">
          <fgColor rgb="FF4472C4"/>
        </patternFill>
      </fill>
    </dxf>
    <dxf>
      <fill>
        <patternFill patternType="solid">
          <fgColor rgb="FF0F6B7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L27"/>
  <sheetViews>
    <sheetView showGridLines="0" tabSelected="1" zoomScale="50" zoomScaleNormal="50" workbookViewId="0">
      <pane xSplit="6" ySplit="6" topLeftCell="G7" activePane="bottomRight" state="frozen"/>
      <selection/>
      <selection pane="topRight"/>
      <selection pane="bottomLeft"/>
      <selection pane="bottomRight" activeCell="G5" sqref="G5:BL5"/>
    </sheetView>
  </sheetViews>
  <sheetFormatPr defaultColWidth="9" defaultRowHeight="14.4"/>
  <cols>
    <col min="1" max="1" width="6" customWidth="1"/>
    <col min="2" max="2" width="34" customWidth="1"/>
    <col min="3" max="3" width="20" customWidth="1"/>
    <col min="4" max="6" width="15" customWidth="1"/>
    <col min="7" max="64" width="3.2962962962963" customWidth="1"/>
  </cols>
  <sheetData>
    <row r="1" ht="34" customHeight="1" spans="1:64">
      <c r="A1" s="13" t="s">
        <v>0</v>
      </c>
    </row>
    <row r="2" ht="22" customHeight="1" spans="1:64">
      <c r="A2" s="14" t="s">
        <v>1</v>
      </c>
    </row>
    <row r="3" ht="20" customHeight="1" spans="1:64">
      <c r="A3" s="15" t="s">
        <v>2</v>
      </c>
    </row>
    <row r="5" ht="28" customHeight="1" spans="1:64">
      <c r="A5" s="16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6" t="s">
        <v>8</v>
      </c>
      <c r="G5" s="17" t="s">
        <v>9</v>
      </c>
    </row>
    <row r="6" ht="64" customHeight="1" spans="1:64">
      <c r="A6" s="18" t="s">
        <v>10</v>
      </c>
      <c r="B6" s="19"/>
      <c r="C6" s="19"/>
      <c r="D6" s="19"/>
      <c r="E6" s="19"/>
      <c r="F6" s="19"/>
      <c r="G6" s="20">
        <v>46303</v>
      </c>
      <c r="H6" s="20">
        <v>46304</v>
      </c>
      <c r="I6" s="21">
        <v>46305</v>
      </c>
      <c r="J6" s="21">
        <v>46306</v>
      </c>
      <c r="K6" s="20">
        <v>46307</v>
      </c>
      <c r="L6" s="20">
        <v>46308</v>
      </c>
      <c r="M6" s="20">
        <v>46309</v>
      </c>
      <c r="N6" s="20">
        <v>46310</v>
      </c>
      <c r="O6" s="20">
        <v>46311</v>
      </c>
      <c r="P6" s="21">
        <v>46312</v>
      </c>
      <c r="Q6" s="21">
        <v>46313</v>
      </c>
      <c r="R6" s="20">
        <v>46314</v>
      </c>
      <c r="S6" s="20">
        <v>46315</v>
      </c>
      <c r="T6" s="20">
        <v>46316</v>
      </c>
      <c r="U6" s="20">
        <v>46317</v>
      </c>
      <c r="V6" s="20">
        <v>46318</v>
      </c>
      <c r="W6" s="21">
        <v>46319</v>
      </c>
      <c r="X6" s="21">
        <v>46320</v>
      </c>
      <c r="Y6" s="20">
        <v>46321</v>
      </c>
      <c r="Z6" s="20">
        <v>46322</v>
      </c>
      <c r="AA6" s="20">
        <v>46323</v>
      </c>
      <c r="AB6" s="20">
        <v>46324</v>
      </c>
      <c r="AC6" s="20">
        <v>46325</v>
      </c>
      <c r="AD6" s="21">
        <v>46326</v>
      </c>
      <c r="AE6" s="21">
        <v>46327</v>
      </c>
      <c r="AF6" s="20">
        <v>46328</v>
      </c>
      <c r="AG6" s="20">
        <v>46329</v>
      </c>
      <c r="AH6" s="20">
        <v>46330</v>
      </c>
      <c r="AI6" s="20">
        <v>46331</v>
      </c>
      <c r="AJ6" s="20">
        <v>46332</v>
      </c>
      <c r="AK6" s="21">
        <v>46333</v>
      </c>
      <c r="AL6" s="21">
        <v>46334</v>
      </c>
      <c r="AM6" s="20">
        <v>46335</v>
      </c>
      <c r="AN6" s="20">
        <v>46336</v>
      </c>
      <c r="AO6" s="20">
        <v>46337</v>
      </c>
      <c r="AP6" s="20">
        <v>46338</v>
      </c>
      <c r="AQ6" s="20">
        <v>46339</v>
      </c>
      <c r="AR6" s="21">
        <v>46340</v>
      </c>
      <c r="AS6" s="21">
        <v>46341</v>
      </c>
      <c r="AT6" s="20">
        <v>46342</v>
      </c>
      <c r="AU6" s="20">
        <v>46343</v>
      </c>
      <c r="AV6" s="20">
        <v>46344</v>
      </c>
      <c r="AW6" s="20">
        <v>46345</v>
      </c>
      <c r="AX6" s="20">
        <v>46346</v>
      </c>
      <c r="AY6" s="21">
        <v>46347</v>
      </c>
      <c r="AZ6" s="21">
        <v>46348</v>
      </c>
      <c r="BA6" s="20">
        <v>46349</v>
      </c>
      <c r="BB6" s="20">
        <v>46350</v>
      </c>
      <c r="BC6" s="20">
        <v>46351</v>
      </c>
      <c r="BD6" s="20">
        <v>46352</v>
      </c>
      <c r="BE6" s="20">
        <v>46353</v>
      </c>
      <c r="BF6" s="21">
        <v>46354</v>
      </c>
      <c r="BG6" s="21">
        <v>46355</v>
      </c>
      <c r="BH6" s="20">
        <v>46356</v>
      </c>
      <c r="BI6" s="20">
        <v>46357</v>
      </c>
      <c r="BJ6" s="20">
        <v>46358</v>
      </c>
      <c r="BK6" s="20">
        <v>46359</v>
      </c>
      <c r="BL6" s="20">
        <v>46360</v>
      </c>
    </row>
    <row r="7" ht="40" customHeight="1" spans="1:64">
      <c r="A7" s="22">
        <v>1</v>
      </c>
      <c r="B7" s="23" t="s">
        <v>11</v>
      </c>
      <c r="C7" s="23" t="s">
        <v>12</v>
      </c>
      <c r="D7" s="24">
        <f>'Task Details'!D5</f>
        <v>46303</v>
      </c>
      <c r="E7" s="24">
        <f>'Task Details'!E5</f>
        <v>46308</v>
      </c>
      <c r="F7" s="25">
        <f>'Task Details'!F5</f>
        <v>6</v>
      </c>
      <c r="G7" s="26"/>
      <c r="H7" s="26"/>
      <c r="I7" s="26"/>
      <c r="J7" s="26"/>
      <c r="K7" s="26"/>
      <c r="L7" s="26"/>
      <c r="M7" s="27"/>
      <c r="N7" s="27"/>
      <c r="O7" s="27"/>
      <c r="P7" s="28"/>
      <c r="Q7" s="28"/>
      <c r="R7" s="27"/>
      <c r="S7" s="27"/>
      <c r="T7" s="27"/>
      <c r="U7" s="27"/>
      <c r="V7" s="27"/>
      <c r="W7" s="28"/>
      <c r="X7" s="28"/>
      <c r="Y7" s="27"/>
      <c r="Z7" s="27"/>
      <c r="AA7" s="27"/>
      <c r="AB7" s="27"/>
      <c r="AC7" s="27"/>
      <c r="AD7" s="28"/>
      <c r="AE7" s="28"/>
      <c r="AF7" s="27"/>
      <c r="AG7" s="27"/>
      <c r="AH7" s="27"/>
      <c r="AI7" s="27"/>
      <c r="AJ7" s="27"/>
      <c r="AK7" s="28"/>
      <c r="AL7" s="28"/>
      <c r="AM7" s="27"/>
      <c r="AN7" s="27"/>
      <c r="AO7" s="27"/>
      <c r="AP7" s="27"/>
      <c r="AQ7" s="27"/>
      <c r="AR7" s="28"/>
      <c r="AS7" s="28"/>
      <c r="AT7" s="27"/>
      <c r="AU7" s="27"/>
      <c r="AV7" s="27"/>
      <c r="AW7" s="27"/>
      <c r="AX7" s="27"/>
      <c r="AY7" s="28"/>
      <c r="AZ7" s="28"/>
      <c r="BA7" s="27"/>
      <c r="BB7" s="27"/>
      <c r="BC7" s="27"/>
      <c r="BD7" s="27"/>
      <c r="BE7" s="27"/>
      <c r="BF7" s="28"/>
      <c r="BG7" s="28"/>
      <c r="BH7" s="27"/>
      <c r="BI7" s="27"/>
      <c r="BJ7" s="27"/>
      <c r="BK7" s="27"/>
      <c r="BL7" s="27"/>
    </row>
    <row r="8" ht="40" customHeight="1" spans="1:64">
      <c r="A8" s="29">
        <v>2</v>
      </c>
      <c r="B8" s="30" t="s">
        <v>13</v>
      </c>
      <c r="C8" s="30" t="s">
        <v>14</v>
      </c>
      <c r="D8" s="31">
        <f>'Task Details'!D6</f>
        <v>46305</v>
      </c>
      <c r="E8" s="31">
        <f>'Task Details'!E6</f>
        <v>46311</v>
      </c>
      <c r="F8" s="32">
        <f>'Task Details'!F6</f>
        <v>7</v>
      </c>
      <c r="G8" s="27"/>
      <c r="H8" s="27"/>
      <c r="I8" s="26"/>
      <c r="J8" s="26"/>
      <c r="K8" s="26"/>
      <c r="L8" s="26"/>
      <c r="M8" s="26"/>
      <c r="N8" s="26"/>
      <c r="O8" s="26"/>
      <c r="P8" s="28"/>
      <c r="Q8" s="28"/>
      <c r="R8" s="27"/>
      <c r="S8" s="27"/>
      <c r="T8" s="27"/>
      <c r="U8" s="27"/>
      <c r="V8" s="27"/>
      <c r="W8" s="28"/>
      <c r="X8" s="28"/>
      <c r="Y8" s="27"/>
      <c r="Z8" s="27"/>
      <c r="AA8" s="27"/>
      <c r="AB8" s="27"/>
      <c r="AC8" s="27"/>
      <c r="AD8" s="28"/>
      <c r="AE8" s="28"/>
      <c r="AF8" s="27"/>
      <c r="AG8" s="27"/>
      <c r="AH8" s="27"/>
      <c r="AI8" s="27"/>
      <c r="AJ8" s="27"/>
      <c r="AK8" s="28"/>
      <c r="AL8" s="28"/>
      <c r="AM8" s="27"/>
      <c r="AN8" s="27"/>
      <c r="AO8" s="27"/>
      <c r="AP8" s="27"/>
      <c r="AQ8" s="27"/>
      <c r="AR8" s="28"/>
      <c r="AS8" s="28"/>
      <c r="AT8" s="27"/>
      <c r="AU8" s="27"/>
      <c r="AV8" s="27"/>
      <c r="AW8" s="27"/>
      <c r="AX8" s="27"/>
      <c r="AY8" s="28"/>
      <c r="AZ8" s="28"/>
      <c r="BA8" s="27"/>
      <c r="BB8" s="27"/>
      <c r="BC8" s="27"/>
      <c r="BD8" s="27"/>
      <c r="BE8" s="27"/>
      <c r="BF8" s="28"/>
      <c r="BG8" s="28"/>
      <c r="BH8" s="27"/>
      <c r="BI8" s="27"/>
      <c r="BJ8" s="27"/>
      <c r="BK8" s="27"/>
      <c r="BL8" s="27"/>
    </row>
    <row r="9" ht="40" customHeight="1" spans="1:64">
      <c r="A9" s="22">
        <v>3</v>
      </c>
      <c r="B9" s="23" t="s">
        <v>15</v>
      </c>
      <c r="C9" s="23" t="s">
        <v>12</v>
      </c>
      <c r="D9" s="24">
        <f>'Task Details'!D7</f>
        <v>46307</v>
      </c>
      <c r="E9" s="24">
        <f>'Task Details'!E7</f>
        <v>46311</v>
      </c>
      <c r="F9" s="25">
        <f>'Task Details'!F7</f>
        <v>5</v>
      </c>
      <c r="G9" s="27"/>
      <c r="H9" s="27"/>
      <c r="I9" s="28"/>
      <c r="J9" s="28"/>
      <c r="K9" s="26"/>
      <c r="L9" s="26"/>
      <c r="M9" s="26"/>
      <c r="N9" s="26"/>
      <c r="O9" s="26"/>
      <c r="P9" s="28"/>
      <c r="Q9" s="28"/>
      <c r="R9" s="27"/>
      <c r="S9" s="27"/>
      <c r="T9" s="27"/>
      <c r="U9" s="27"/>
      <c r="V9" s="27"/>
      <c r="W9" s="28"/>
      <c r="X9" s="28"/>
      <c r="Y9" s="27"/>
      <c r="Z9" s="27"/>
      <c r="AA9" s="27"/>
      <c r="AB9" s="27"/>
      <c r="AC9" s="27"/>
      <c r="AD9" s="28"/>
      <c r="AE9" s="28"/>
      <c r="AF9" s="27"/>
      <c r="AG9" s="27"/>
      <c r="AH9" s="27"/>
      <c r="AI9" s="27"/>
      <c r="AJ9" s="27"/>
      <c r="AK9" s="28"/>
      <c r="AL9" s="28"/>
      <c r="AM9" s="27"/>
      <c r="AN9" s="27"/>
      <c r="AO9" s="27"/>
      <c r="AP9" s="27"/>
      <c r="AQ9" s="27"/>
      <c r="AR9" s="28"/>
      <c r="AS9" s="28"/>
      <c r="AT9" s="27"/>
      <c r="AU9" s="27"/>
      <c r="AV9" s="27"/>
      <c r="AW9" s="27"/>
      <c r="AX9" s="27"/>
      <c r="AY9" s="28"/>
      <c r="AZ9" s="28"/>
      <c r="BA9" s="27"/>
      <c r="BB9" s="27"/>
      <c r="BC9" s="27"/>
      <c r="BD9" s="27"/>
      <c r="BE9" s="27"/>
      <c r="BF9" s="28"/>
      <c r="BG9" s="28"/>
      <c r="BH9" s="27"/>
      <c r="BI9" s="27"/>
      <c r="BJ9" s="27"/>
      <c r="BK9" s="27"/>
      <c r="BL9" s="27"/>
    </row>
    <row r="10" ht="40" customHeight="1" spans="1:64">
      <c r="A10" s="29">
        <v>4</v>
      </c>
      <c r="B10" s="30" t="s">
        <v>16</v>
      </c>
      <c r="C10" s="30" t="s">
        <v>17</v>
      </c>
      <c r="D10" s="31">
        <f>'Task Details'!D8</f>
        <v>46309</v>
      </c>
      <c r="E10" s="31">
        <f>'Task Details'!E8</f>
        <v>46317</v>
      </c>
      <c r="F10" s="32">
        <f>'Task Details'!F8</f>
        <v>9</v>
      </c>
      <c r="G10" s="27"/>
      <c r="H10" s="27"/>
      <c r="I10" s="28"/>
      <c r="J10" s="28"/>
      <c r="K10" s="27"/>
      <c r="L10" s="27"/>
      <c r="M10" s="26"/>
      <c r="N10" s="26"/>
      <c r="O10" s="26"/>
      <c r="P10" s="26"/>
      <c r="Q10" s="26"/>
      <c r="R10" s="26"/>
      <c r="S10" s="26"/>
      <c r="T10" s="26"/>
      <c r="U10" s="26"/>
      <c r="V10" s="27"/>
      <c r="W10" s="28"/>
      <c r="X10" s="28"/>
      <c r="Y10" s="27"/>
      <c r="Z10" s="27"/>
      <c r="AA10" s="27"/>
      <c r="AB10" s="27"/>
      <c r="AC10" s="27"/>
      <c r="AD10" s="28"/>
      <c r="AE10" s="28"/>
      <c r="AF10" s="27"/>
      <c r="AG10" s="27"/>
      <c r="AH10" s="27"/>
      <c r="AI10" s="27"/>
      <c r="AJ10" s="27"/>
      <c r="AK10" s="28"/>
      <c r="AL10" s="28"/>
      <c r="AM10" s="27"/>
      <c r="AN10" s="27"/>
      <c r="AO10" s="27"/>
      <c r="AP10" s="27"/>
      <c r="AQ10" s="27"/>
      <c r="AR10" s="28"/>
      <c r="AS10" s="28"/>
      <c r="AT10" s="27"/>
      <c r="AU10" s="27"/>
      <c r="AV10" s="27"/>
      <c r="AW10" s="27"/>
      <c r="AX10" s="27"/>
      <c r="AY10" s="28"/>
      <c r="AZ10" s="28"/>
      <c r="BA10" s="27"/>
      <c r="BB10" s="27"/>
      <c r="BC10" s="27"/>
      <c r="BD10" s="27"/>
      <c r="BE10" s="27"/>
      <c r="BF10" s="28"/>
      <c r="BG10" s="28"/>
      <c r="BH10" s="27"/>
      <c r="BI10" s="27"/>
      <c r="BJ10" s="27"/>
      <c r="BK10" s="27"/>
      <c r="BL10" s="27"/>
    </row>
    <row r="11" ht="40" customHeight="1" spans="1:64">
      <c r="A11" s="22">
        <v>5</v>
      </c>
      <c r="B11" s="23" t="s">
        <v>18</v>
      </c>
      <c r="C11" s="23" t="s">
        <v>19</v>
      </c>
      <c r="D11" s="24">
        <f>'Task Details'!D9</f>
        <v>46312</v>
      </c>
      <c r="E11" s="24">
        <f>'Task Details'!E9</f>
        <v>46319</v>
      </c>
      <c r="F11" s="25">
        <f>'Task Details'!F9</f>
        <v>8</v>
      </c>
      <c r="G11" s="27"/>
      <c r="H11" s="27"/>
      <c r="I11" s="28"/>
      <c r="J11" s="28"/>
      <c r="K11" s="27"/>
      <c r="L11" s="27"/>
      <c r="M11" s="27"/>
      <c r="N11" s="27"/>
      <c r="O11" s="27"/>
      <c r="P11" s="26"/>
      <c r="Q11" s="26"/>
      <c r="R11" s="26"/>
      <c r="S11" s="26"/>
      <c r="T11" s="26"/>
      <c r="U11" s="26"/>
      <c r="V11" s="26"/>
      <c r="W11" s="26"/>
      <c r="X11" s="28"/>
      <c r="Y11" s="27"/>
      <c r="Z11" s="27"/>
      <c r="AA11" s="27"/>
      <c r="AB11" s="27"/>
      <c r="AC11" s="27"/>
      <c r="AD11" s="28"/>
      <c r="AE11" s="28"/>
      <c r="AF11" s="27"/>
      <c r="AG11" s="27"/>
      <c r="AH11" s="27"/>
      <c r="AI11" s="27"/>
      <c r="AJ11" s="27"/>
      <c r="AK11" s="28"/>
      <c r="AL11" s="28"/>
      <c r="AM11" s="27"/>
      <c r="AN11" s="27"/>
      <c r="AO11" s="27"/>
      <c r="AP11" s="27"/>
      <c r="AQ11" s="27"/>
      <c r="AR11" s="28"/>
      <c r="AS11" s="28"/>
      <c r="AT11" s="27"/>
      <c r="AU11" s="27"/>
      <c r="AV11" s="27"/>
      <c r="AW11" s="27"/>
      <c r="AX11" s="27"/>
      <c r="AY11" s="28"/>
      <c r="AZ11" s="28"/>
      <c r="BA11" s="27"/>
      <c r="BB11" s="27"/>
      <c r="BC11" s="27"/>
      <c r="BD11" s="27"/>
      <c r="BE11" s="27"/>
      <c r="BF11" s="28"/>
      <c r="BG11" s="28"/>
      <c r="BH11" s="27"/>
      <c r="BI11" s="27"/>
      <c r="BJ11" s="27"/>
      <c r="BK11" s="27"/>
      <c r="BL11" s="27"/>
    </row>
    <row r="12" ht="40" customHeight="1" spans="1:64">
      <c r="A12" s="29">
        <v>6</v>
      </c>
      <c r="B12" s="30" t="s">
        <v>20</v>
      </c>
      <c r="C12" s="30" t="s">
        <v>21</v>
      </c>
      <c r="D12" s="31">
        <f>'Task Details'!D10</f>
        <v>46315</v>
      </c>
      <c r="E12" s="31">
        <f>'Task Details'!E10</f>
        <v>46319</v>
      </c>
      <c r="F12" s="32">
        <f>'Task Details'!F10</f>
        <v>5</v>
      </c>
      <c r="G12" s="27"/>
      <c r="H12" s="27"/>
      <c r="I12" s="28"/>
      <c r="J12" s="28"/>
      <c r="K12" s="27"/>
      <c r="L12" s="27"/>
      <c r="M12" s="27"/>
      <c r="N12" s="27"/>
      <c r="O12" s="27"/>
      <c r="P12" s="28"/>
      <c r="Q12" s="28"/>
      <c r="R12" s="27"/>
      <c r="S12" s="33"/>
      <c r="T12" s="33"/>
      <c r="U12" s="33"/>
      <c r="V12" s="33"/>
      <c r="W12" s="33"/>
      <c r="X12" s="28"/>
      <c r="Y12" s="27"/>
      <c r="Z12" s="27"/>
      <c r="AA12" s="27"/>
      <c r="AB12" s="27"/>
      <c r="AC12" s="27"/>
      <c r="AD12" s="28"/>
      <c r="AE12" s="28"/>
      <c r="AF12" s="27"/>
      <c r="AG12" s="27"/>
      <c r="AH12" s="27"/>
      <c r="AI12" s="27"/>
      <c r="AJ12" s="27"/>
      <c r="AK12" s="28"/>
      <c r="AL12" s="28"/>
      <c r="AM12" s="27"/>
      <c r="AN12" s="27"/>
      <c r="AO12" s="27"/>
      <c r="AP12" s="27"/>
      <c r="AQ12" s="27"/>
      <c r="AR12" s="28"/>
      <c r="AS12" s="28"/>
      <c r="AT12" s="27"/>
      <c r="AU12" s="27"/>
      <c r="AV12" s="27"/>
      <c r="AW12" s="27"/>
      <c r="AX12" s="27"/>
      <c r="AY12" s="28"/>
      <c r="AZ12" s="28"/>
      <c r="BA12" s="27"/>
      <c r="BB12" s="27"/>
      <c r="BC12" s="27"/>
      <c r="BD12" s="27"/>
      <c r="BE12" s="27"/>
      <c r="BF12" s="28"/>
      <c r="BG12" s="28"/>
      <c r="BH12" s="27"/>
      <c r="BI12" s="27"/>
      <c r="BJ12" s="27"/>
      <c r="BK12" s="27"/>
      <c r="BL12" s="27"/>
    </row>
    <row r="13" ht="40" customHeight="1" spans="1:64">
      <c r="A13" s="22">
        <v>7</v>
      </c>
      <c r="B13" s="23" t="s">
        <v>22</v>
      </c>
      <c r="C13" s="23" t="s">
        <v>21</v>
      </c>
      <c r="D13" s="24">
        <f>'Task Details'!D11</f>
        <v>46318</v>
      </c>
      <c r="E13" s="24">
        <f>'Task Details'!E11</f>
        <v>46330</v>
      </c>
      <c r="F13" s="25">
        <f>'Task Details'!F11</f>
        <v>13</v>
      </c>
      <c r="G13" s="27"/>
      <c r="H13" s="27"/>
      <c r="I13" s="28"/>
      <c r="J13" s="28"/>
      <c r="K13" s="27"/>
      <c r="L13" s="27"/>
      <c r="M13" s="27"/>
      <c r="N13" s="27"/>
      <c r="O13" s="27"/>
      <c r="P13" s="28"/>
      <c r="Q13" s="28"/>
      <c r="R13" s="27"/>
      <c r="S13" s="27"/>
      <c r="T13" s="27"/>
      <c r="U13" s="27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27"/>
      <c r="AJ13" s="27"/>
      <c r="AK13" s="28"/>
      <c r="AL13" s="28"/>
      <c r="AM13" s="27"/>
      <c r="AN13" s="27"/>
      <c r="AO13" s="27"/>
      <c r="AP13" s="27"/>
      <c r="AQ13" s="27"/>
      <c r="AR13" s="28"/>
      <c r="AS13" s="28"/>
      <c r="AT13" s="27"/>
      <c r="AU13" s="27"/>
      <c r="AV13" s="27"/>
      <c r="AW13" s="27"/>
      <c r="AX13" s="27"/>
      <c r="AY13" s="28"/>
      <c r="AZ13" s="28"/>
      <c r="BA13" s="27"/>
      <c r="BB13" s="27"/>
      <c r="BC13" s="27"/>
      <c r="BD13" s="27"/>
      <c r="BE13" s="27"/>
      <c r="BF13" s="28"/>
      <c r="BG13" s="28"/>
      <c r="BH13" s="27"/>
      <c r="BI13" s="27"/>
      <c r="BJ13" s="27"/>
      <c r="BK13" s="27"/>
      <c r="BL13" s="27"/>
    </row>
    <row r="14" ht="40" customHeight="1" spans="1:64">
      <c r="A14" s="29">
        <v>8</v>
      </c>
      <c r="B14" s="30" t="s">
        <v>23</v>
      </c>
      <c r="C14" s="30" t="s">
        <v>21</v>
      </c>
      <c r="D14" s="31">
        <f>'Task Details'!D12</f>
        <v>46324</v>
      </c>
      <c r="E14" s="31">
        <f>'Task Details'!E12</f>
        <v>46333</v>
      </c>
      <c r="F14" s="32">
        <f>'Task Details'!F12</f>
        <v>10</v>
      </c>
      <c r="G14" s="27"/>
      <c r="H14" s="27"/>
      <c r="I14" s="28"/>
      <c r="J14" s="28"/>
      <c r="K14" s="27"/>
      <c r="L14" s="27"/>
      <c r="M14" s="27"/>
      <c r="N14" s="27"/>
      <c r="O14" s="27"/>
      <c r="P14" s="28"/>
      <c r="Q14" s="28"/>
      <c r="R14" s="27"/>
      <c r="S14" s="27"/>
      <c r="T14" s="27"/>
      <c r="U14" s="27"/>
      <c r="V14" s="27"/>
      <c r="W14" s="28"/>
      <c r="X14" s="28"/>
      <c r="Y14" s="27"/>
      <c r="Z14" s="27"/>
      <c r="AA14" s="27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28"/>
      <c r="AM14" s="27"/>
      <c r="AN14" s="27"/>
      <c r="AO14" s="27"/>
      <c r="AP14" s="27"/>
      <c r="AQ14" s="27"/>
      <c r="AR14" s="28"/>
      <c r="AS14" s="28"/>
      <c r="AT14" s="27"/>
      <c r="AU14" s="27"/>
      <c r="AV14" s="27"/>
      <c r="AW14" s="27"/>
      <c r="AX14" s="27"/>
      <c r="AY14" s="28"/>
      <c r="AZ14" s="28"/>
      <c r="BA14" s="27"/>
      <c r="BB14" s="27"/>
      <c r="BC14" s="27"/>
      <c r="BD14" s="27"/>
      <c r="BE14" s="27"/>
      <c r="BF14" s="28"/>
      <c r="BG14" s="28"/>
      <c r="BH14" s="27"/>
      <c r="BI14" s="27"/>
      <c r="BJ14" s="27"/>
      <c r="BK14" s="27"/>
      <c r="BL14" s="27"/>
    </row>
    <row r="15" ht="40" customHeight="1" spans="1:64">
      <c r="A15" s="22">
        <v>9</v>
      </c>
      <c r="B15" s="23" t="s">
        <v>24</v>
      </c>
      <c r="C15" s="23" t="s">
        <v>25</v>
      </c>
      <c r="D15" s="24">
        <f>'Task Details'!D13</f>
        <v>46328</v>
      </c>
      <c r="E15" s="24">
        <f>'Task Details'!E13</f>
        <v>46338</v>
      </c>
      <c r="F15" s="25">
        <f>'Task Details'!F13</f>
        <v>11</v>
      </c>
      <c r="G15" s="27"/>
      <c r="H15" s="27"/>
      <c r="I15" s="28"/>
      <c r="J15" s="28"/>
      <c r="K15" s="27"/>
      <c r="L15" s="27"/>
      <c r="M15" s="27"/>
      <c r="N15" s="27"/>
      <c r="O15" s="27"/>
      <c r="P15" s="28"/>
      <c r="Q15" s="28"/>
      <c r="R15" s="27"/>
      <c r="S15" s="27"/>
      <c r="T15" s="27"/>
      <c r="U15" s="27"/>
      <c r="V15" s="27"/>
      <c r="W15" s="28"/>
      <c r="X15" s="28"/>
      <c r="Y15" s="27"/>
      <c r="Z15" s="27"/>
      <c r="AA15" s="27"/>
      <c r="AB15" s="27"/>
      <c r="AC15" s="27"/>
      <c r="AD15" s="28"/>
      <c r="AE15" s="28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27"/>
      <c r="AR15" s="28"/>
      <c r="AS15" s="28"/>
      <c r="AT15" s="27"/>
      <c r="AU15" s="27"/>
      <c r="AV15" s="27"/>
      <c r="AW15" s="27"/>
      <c r="AX15" s="27"/>
      <c r="AY15" s="28"/>
      <c r="AZ15" s="28"/>
      <c r="BA15" s="27"/>
      <c r="BB15" s="27"/>
      <c r="BC15" s="27"/>
      <c r="BD15" s="27"/>
      <c r="BE15" s="27"/>
      <c r="BF15" s="28"/>
      <c r="BG15" s="28"/>
      <c r="BH15" s="27"/>
      <c r="BI15" s="27"/>
      <c r="BJ15" s="27"/>
      <c r="BK15" s="27"/>
      <c r="BL15" s="27"/>
    </row>
    <row r="16" ht="40" customHeight="1" spans="1:64">
      <c r="A16" s="29">
        <v>10</v>
      </c>
      <c r="B16" s="30" t="s">
        <v>26</v>
      </c>
      <c r="C16" s="30" t="s">
        <v>21</v>
      </c>
      <c r="D16" s="31">
        <f>'Task Details'!D14</f>
        <v>46332</v>
      </c>
      <c r="E16" s="31">
        <f>'Task Details'!E14</f>
        <v>46341</v>
      </c>
      <c r="F16" s="32">
        <f>'Task Details'!F14</f>
        <v>10</v>
      </c>
      <c r="G16" s="27"/>
      <c r="H16" s="27"/>
      <c r="I16" s="28"/>
      <c r="J16" s="28"/>
      <c r="K16" s="27"/>
      <c r="L16" s="27"/>
      <c r="M16" s="27"/>
      <c r="N16" s="27"/>
      <c r="O16" s="27"/>
      <c r="P16" s="28"/>
      <c r="Q16" s="28"/>
      <c r="R16" s="27"/>
      <c r="S16" s="27"/>
      <c r="T16" s="27"/>
      <c r="U16" s="27"/>
      <c r="V16" s="27"/>
      <c r="W16" s="28"/>
      <c r="X16" s="28"/>
      <c r="Y16" s="27"/>
      <c r="Z16" s="27"/>
      <c r="AA16" s="27"/>
      <c r="AB16" s="27"/>
      <c r="AC16" s="27"/>
      <c r="AD16" s="28"/>
      <c r="AE16" s="28"/>
      <c r="AF16" s="27"/>
      <c r="AG16" s="27"/>
      <c r="AH16" s="27"/>
      <c r="AI16" s="27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27"/>
      <c r="AU16" s="27"/>
      <c r="AV16" s="27"/>
      <c r="AW16" s="27"/>
      <c r="AX16" s="27"/>
      <c r="AY16" s="28"/>
      <c r="AZ16" s="28"/>
      <c r="BA16" s="27"/>
      <c r="BB16" s="27"/>
      <c r="BC16" s="27"/>
      <c r="BD16" s="27"/>
      <c r="BE16" s="27"/>
      <c r="BF16" s="28"/>
      <c r="BG16" s="28"/>
      <c r="BH16" s="27"/>
      <c r="BI16" s="27"/>
      <c r="BJ16" s="27"/>
      <c r="BK16" s="27"/>
      <c r="BL16" s="27"/>
    </row>
    <row r="17" ht="40" customHeight="1" spans="1:64">
      <c r="A17" s="22">
        <v>11</v>
      </c>
      <c r="B17" s="23" t="s">
        <v>27</v>
      </c>
      <c r="C17" s="23" t="s">
        <v>28</v>
      </c>
      <c r="D17" s="24">
        <f>'Task Details'!D15</f>
        <v>46334</v>
      </c>
      <c r="E17" s="24">
        <f>'Task Details'!E15</f>
        <v>46344</v>
      </c>
      <c r="F17" s="25">
        <f>'Task Details'!F15</f>
        <v>11</v>
      </c>
      <c r="G17" s="27"/>
      <c r="H17" s="27"/>
      <c r="I17" s="28"/>
      <c r="J17" s="28"/>
      <c r="K17" s="27"/>
      <c r="L17" s="27"/>
      <c r="M17" s="27"/>
      <c r="N17" s="27"/>
      <c r="O17" s="27"/>
      <c r="P17" s="28"/>
      <c r="Q17" s="28"/>
      <c r="R17" s="27"/>
      <c r="S17" s="27"/>
      <c r="T17" s="27"/>
      <c r="U17" s="27"/>
      <c r="V17" s="27"/>
      <c r="W17" s="28"/>
      <c r="X17" s="28"/>
      <c r="Y17" s="27"/>
      <c r="Z17" s="27"/>
      <c r="AA17" s="27"/>
      <c r="AB17" s="27"/>
      <c r="AC17" s="27"/>
      <c r="AD17" s="28"/>
      <c r="AE17" s="28"/>
      <c r="AF17" s="27"/>
      <c r="AG17" s="27"/>
      <c r="AH17" s="27"/>
      <c r="AI17" s="27"/>
      <c r="AJ17" s="27"/>
      <c r="AK17" s="28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7"/>
      <c r="AX17" s="27"/>
      <c r="AY17" s="28"/>
      <c r="AZ17" s="28"/>
      <c r="BA17" s="27"/>
      <c r="BB17" s="27"/>
      <c r="BC17" s="27"/>
      <c r="BD17" s="27"/>
      <c r="BE17" s="27"/>
      <c r="BF17" s="28"/>
      <c r="BG17" s="28"/>
      <c r="BH17" s="27"/>
      <c r="BI17" s="27"/>
      <c r="BJ17" s="27"/>
      <c r="BK17" s="27"/>
      <c r="BL17" s="27"/>
    </row>
    <row r="18" ht="40" customHeight="1" spans="1:64">
      <c r="A18" s="29">
        <v>12</v>
      </c>
      <c r="B18" s="30" t="s">
        <v>29</v>
      </c>
      <c r="C18" s="30" t="s">
        <v>28</v>
      </c>
      <c r="D18" s="31">
        <f>'Task Details'!D16</f>
        <v>46342</v>
      </c>
      <c r="E18" s="31">
        <f>'Task Details'!E16</f>
        <v>46347</v>
      </c>
      <c r="F18" s="32">
        <f>'Task Details'!F16</f>
        <v>6</v>
      </c>
      <c r="G18" s="27"/>
      <c r="H18" s="27"/>
      <c r="I18" s="28"/>
      <c r="J18" s="28"/>
      <c r="K18" s="27"/>
      <c r="L18" s="27"/>
      <c r="M18" s="27"/>
      <c r="N18" s="27"/>
      <c r="O18" s="27"/>
      <c r="P18" s="28"/>
      <c r="Q18" s="28"/>
      <c r="R18" s="27"/>
      <c r="S18" s="27"/>
      <c r="T18" s="27"/>
      <c r="U18" s="27"/>
      <c r="V18" s="27"/>
      <c r="W18" s="28"/>
      <c r="X18" s="28"/>
      <c r="Y18" s="27"/>
      <c r="Z18" s="27"/>
      <c r="AA18" s="27"/>
      <c r="AB18" s="27"/>
      <c r="AC18" s="27"/>
      <c r="AD18" s="28"/>
      <c r="AE18" s="28"/>
      <c r="AF18" s="27"/>
      <c r="AG18" s="27"/>
      <c r="AH18" s="27"/>
      <c r="AI18" s="27"/>
      <c r="AJ18" s="27"/>
      <c r="AK18" s="28"/>
      <c r="AL18" s="28"/>
      <c r="AM18" s="27"/>
      <c r="AN18" s="27"/>
      <c r="AO18" s="27"/>
      <c r="AP18" s="27"/>
      <c r="AQ18" s="27"/>
      <c r="AR18" s="28"/>
      <c r="AS18" s="28"/>
      <c r="AT18" s="26"/>
      <c r="AU18" s="26"/>
      <c r="AV18" s="26"/>
      <c r="AW18" s="26"/>
      <c r="AX18" s="26"/>
      <c r="AY18" s="26"/>
      <c r="AZ18" s="28"/>
      <c r="BA18" s="27"/>
      <c r="BB18" s="27"/>
      <c r="BC18" s="27"/>
      <c r="BD18" s="27"/>
      <c r="BE18" s="27"/>
      <c r="BF18" s="28"/>
      <c r="BG18" s="28"/>
      <c r="BH18" s="27"/>
      <c r="BI18" s="27"/>
      <c r="BJ18" s="27"/>
      <c r="BK18" s="27"/>
      <c r="BL18" s="27"/>
    </row>
    <row r="19" ht="40" customHeight="1" spans="1:64">
      <c r="A19" s="22">
        <v>13</v>
      </c>
      <c r="B19" s="23" t="s">
        <v>30</v>
      </c>
      <c r="C19" s="23" t="s">
        <v>31</v>
      </c>
      <c r="D19" s="24">
        <f>'Task Details'!D17</f>
        <v>46346</v>
      </c>
      <c r="E19" s="24">
        <f>'Task Details'!E17</f>
        <v>46354</v>
      </c>
      <c r="F19" s="25">
        <f>'Task Details'!F17</f>
        <v>9</v>
      </c>
      <c r="G19" s="27"/>
      <c r="H19" s="27"/>
      <c r="I19" s="28"/>
      <c r="J19" s="28"/>
      <c r="K19" s="27"/>
      <c r="L19" s="27"/>
      <c r="M19" s="27"/>
      <c r="N19" s="27"/>
      <c r="O19" s="27"/>
      <c r="P19" s="28"/>
      <c r="Q19" s="28"/>
      <c r="R19" s="27"/>
      <c r="S19" s="27"/>
      <c r="T19" s="27"/>
      <c r="U19" s="27"/>
      <c r="V19" s="27"/>
      <c r="W19" s="28"/>
      <c r="X19" s="28"/>
      <c r="Y19" s="27"/>
      <c r="Z19" s="27"/>
      <c r="AA19" s="27"/>
      <c r="AB19" s="27"/>
      <c r="AC19" s="27"/>
      <c r="AD19" s="28"/>
      <c r="AE19" s="28"/>
      <c r="AF19" s="27"/>
      <c r="AG19" s="27"/>
      <c r="AH19" s="27"/>
      <c r="AI19" s="27"/>
      <c r="AJ19" s="27"/>
      <c r="AK19" s="28"/>
      <c r="AL19" s="28"/>
      <c r="AM19" s="27"/>
      <c r="AN19" s="27"/>
      <c r="AO19" s="27"/>
      <c r="AP19" s="27"/>
      <c r="AQ19" s="27"/>
      <c r="AR19" s="28"/>
      <c r="AS19" s="28"/>
      <c r="AT19" s="27"/>
      <c r="AU19" s="27"/>
      <c r="AV19" s="27"/>
      <c r="AW19" s="27"/>
      <c r="AX19" s="26"/>
      <c r="AY19" s="26"/>
      <c r="AZ19" s="26"/>
      <c r="BA19" s="26"/>
      <c r="BB19" s="26"/>
      <c r="BC19" s="26"/>
      <c r="BD19" s="26"/>
      <c r="BE19" s="26"/>
      <c r="BF19" s="26"/>
      <c r="BG19" s="28"/>
      <c r="BH19" s="27"/>
      <c r="BI19" s="27"/>
      <c r="BJ19" s="27"/>
      <c r="BK19" s="27"/>
      <c r="BL19" s="27"/>
    </row>
    <row r="20" ht="40" customHeight="1" spans="1:64">
      <c r="A20" s="29">
        <v>14</v>
      </c>
      <c r="B20" s="30" t="s">
        <v>32</v>
      </c>
      <c r="C20" s="30" t="s">
        <v>33</v>
      </c>
      <c r="D20" s="31">
        <f>'Task Details'!D18</f>
        <v>46348</v>
      </c>
      <c r="E20" s="31">
        <f>'Task Details'!E18</f>
        <v>46357</v>
      </c>
      <c r="F20" s="32">
        <f>'Task Details'!F18</f>
        <v>10</v>
      </c>
      <c r="G20" s="27"/>
      <c r="H20" s="27"/>
      <c r="I20" s="28"/>
      <c r="J20" s="28"/>
      <c r="K20" s="27"/>
      <c r="L20" s="27"/>
      <c r="M20" s="27"/>
      <c r="N20" s="27"/>
      <c r="O20" s="27"/>
      <c r="P20" s="28"/>
      <c r="Q20" s="28"/>
      <c r="R20" s="27"/>
      <c r="S20" s="27"/>
      <c r="T20" s="27"/>
      <c r="U20" s="27"/>
      <c r="V20" s="27"/>
      <c r="W20" s="28"/>
      <c r="X20" s="28"/>
      <c r="Y20" s="27"/>
      <c r="Z20" s="27"/>
      <c r="AA20" s="27"/>
      <c r="AB20" s="27"/>
      <c r="AC20" s="27"/>
      <c r="AD20" s="28"/>
      <c r="AE20" s="28"/>
      <c r="AF20" s="27"/>
      <c r="AG20" s="27"/>
      <c r="AH20" s="27"/>
      <c r="AI20" s="27"/>
      <c r="AJ20" s="27"/>
      <c r="AK20" s="28"/>
      <c r="AL20" s="28"/>
      <c r="AM20" s="27"/>
      <c r="AN20" s="27"/>
      <c r="AO20" s="27"/>
      <c r="AP20" s="27"/>
      <c r="AQ20" s="27"/>
      <c r="AR20" s="28"/>
      <c r="AS20" s="28"/>
      <c r="AT20" s="27"/>
      <c r="AU20" s="27"/>
      <c r="AV20" s="27"/>
      <c r="AW20" s="27"/>
      <c r="AX20" s="27"/>
      <c r="AY20" s="28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7"/>
      <c r="BK20" s="27"/>
      <c r="BL20" s="27"/>
    </row>
    <row r="21" ht="40" customHeight="1" spans="1:64">
      <c r="A21" s="22">
        <v>15</v>
      </c>
      <c r="B21" s="23" t="s">
        <v>34</v>
      </c>
      <c r="C21" s="23" t="s">
        <v>35</v>
      </c>
      <c r="D21" s="24">
        <f>'Task Details'!D19</f>
        <v>46358</v>
      </c>
      <c r="E21" s="24">
        <f>'Task Details'!E19</f>
        <v>46360</v>
      </c>
      <c r="F21" s="25">
        <f>'Task Details'!F19</f>
        <v>3</v>
      </c>
      <c r="G21" s="27"/>
      <c r="H21" s="27"/>
      <c r="I21" s="28"/>
      <c r="J21" s="28"/>
      <c r="K21" s="27"/>
      <c r="L21" s="27"/>
      <c r="M21" s="27"/>
      <c r="N21" s="27"/>
      <c r="O21" s="27"/>
      <c r="P21" s="28"/>
      <c r="Q21" s="28"/>
      <c r="R21" s="27"/>
      <c r="S21" s="27"/>
      <c r="T21" s="27"/>
      <c r="U21" s="27"/>
      <c r="V21" s="27"/>
      <c r="W21" s="28"/>
      <c r="X21" s="28"/>
      <c r="Y21" s="27"/>
      <c r="Z21" s="27"/>
      <c r="AA21" s="27"/>
      <c r="AB21" s="27"/>
      <c r="AC21" s="27"/>
      <c r="AD21" s="28"/>
      <c r="AE21" s="28"/>
      <c r="AF21" s="27"/>
      <c r="AG21" s="27"/>
      <c r="AH21" s="27"/>
      <c r="AI21" s="27"/>
      <c r="AJ21" s="27"/>
      <c r="AK21" s="28"/>
      <c r="AL21" s="28"/>
      <c r="AM21" s="27"/>
      <c r="AN21" s="27"/>
      <c r="AO21" s="27"/>
      <c r="AP21" s="27"/>
      <c r="AQ21" s="27"/>
      <c r="AR21" s="28"/>
      <c r="AS21" s="28"/>
      <c r="AT21" s="27"/>
      <c r="AU21" s="27"/>
      <c r="AV21" s="27"/>
      <c r="AW21" s="27"/>
      <c r="AX21" s="27"/>
      <c r="AY21" s="28"/>
      <c r="AZ21" s="28"/>
      <c r="BA21" s="27"/>
      <c r="BB21" s="27"/>
      <c r="BC21" s="27"/>
      <c r="BD21" s="27"/>
      <c r="BE21" s="27"/>
      <c r="BF21" s="28"/>
      <c r="BG21" s="28"/>
      <c r="BH21" s="27"/>
      <c r="BI21" s="27"/>
      <c r="BJ21" s="26"/>
      <c r="BK21" s="26"/>
      <c r="BL21" s="26"/>
    </row>
    <row r="24" spans="1:64">
      <c r="A24" s="34" t="s">
        <v>36</v>
      </c>
    </row>
    <row r="25" spans="1:64">
      <c r="A25" s="35" t="s">
        <v>37</v>
      </c>
      <c r="B25" t="s">
        <v>38</v>
      </c>
    </row>
    <row r="26" spans="1:64">
      <c r="A26" s="36" t="s">
        <v>39</v>
      </c>
      <c r="B26" t="s">
        <v>40</v>
      </c>
    </row>
    <row r="27" spans="1:64">
      <c r="A27" s="37" t="s">
        <v>41</v>
      </c>
      <c r="B27" t="s">
        <v>42</v>
      </c>
    </row>
  </sheetData>
  <autoFilter xmlns:etc="http://www.wps.cn/officeDocument/2017/etCustomData" ref="A5:F21" etc:filterBottomFollowUsedRange="0">
    <extLst/>
  </autoFilter>
  <mergeCells count="4">
    <mergeCell ref="A1:H1"/>
    <mergeCell ref="A2:H2"/>
    <mergeCell ref="A3:H3"/>
    <mergeCell ref="G5:BL5"/>
  </mergeCells>
  <conditionalFormatting sqref="G7:G21">
    <cfRule type="expression" dxfId="0" priority="1">
      <formula>AND(G$6&gt;=$D7,G$6&lt;=$E7,OR($C7="Flutter",$C7="AI Integration"))</formula>
    </cfRule>
    <cfRule type="expression" dxfId="1" priority="2">
      <formula>AND(G$6&gt;=$D7,G$6&lt;=$E7,NOT(OR($C7="Flutter",$C7="AI Integration")))</formula>
    </cfRule>
  </conditionalFormatting>
  <conditionalFormatting sqref="H7:H21">
    <cfRule type="expression" dxfId="0" priority="3">
      <formula>AND(H$6&gt;=$D7,H$6&lt;=$E7,OR($C7="Flutter",$C7="AI Integration"))</formula>
    </cfRule>
    <cfRule type="expression" dxfId="1" priority="4">
      <formula>AND(H$6&gt;=$D7,H$6&lt;=$E7,NOT(OR($C7="Flutter",$C7="AI Integration")))</formula>
    </cfRule>
  </conditionalFormatting>
  <conditionalFormatting sqref="I7:I21">
    <cfRule type="expression" dxfId="0" priority="5">
      <formula>AND(I$6&gt;=$D7,I$6&lt;=$E7,OR($C7="Flutter",$C7="AI Integration"))</formula>
    </cfRule>
    <cfRule type="expression" dxfId="1" priority="6">
      <formula>AND(I$6&gt;=$D7,I$6&lt;=$E7,NOT(OR($C7="Flutter",$C7="AI Integration")))</formula>
    </cfRule>
  </conditionalFormatting>
  <conditionalFormatting sqref="J7:J21">
    <cfRule type="expression" dxfId="0" priority="7">
      <formula>AND(J$6&gt;=$D7,J$6&lt;=$E7,OR($C7="Flutter",$C7="AI Integration"))</formula>
    </cfRule>
    <cfRule type="expression" dxfId="1" priority="8">
      <formula>AND(J$6&gt;=$D7,J$6&lt;=$E7,NOT(OR($C7="Flutter",$C7="AI Integration")))</formula>
    </cfRule>
  </conditionalFormatting>
  <conditionalFormatting sqref="K7:K21">
    <cfRule type="expression" dxfId="0" priority="9">
      <formula>AND(K$6&gt;=$D7,K$6&lt;=$E7,OR($C7="Flutter",$C7="AI Integration"))</formula>
    </cfRule>
    <cfRule type="expression" dxfId="1" priority="10">
      <formula>AND(K$6&gt;=$D7,K$6&lt;=$E7,NOT(OR($C7="Flutter",$C7="AI Integration")))</formula>
    </cfRule>
  </conditionalFormatting>
  <conditionalFormatting sqref="L7:L21">
    <cfRule type="expression" dxfId="0" priority="11">
      <formula>AND(L$6&gt;=$D7,L$6&lt;=$E7,OR($C7="Flutter",$C7="AI Integration"))</formula>
    </cfRule>
    <cfRule type="expression" dxfId="1" priority="12">
      <formula>AND(L$6&gt;=$D7,L$6&lt;=$E7,NOT(OR($C7="Flutter",$C7="AI Integration")))</formula>
    </cfRule>
  </conditionalFormatting>
  <conditionalFormatting sqref="M7:M21">
    <cfRule type="expression" dxfId="0" priority="13">
      <formula>AND(M$6&gt;=$D7,M$6&lt;=$E7,OR($C7="Flutter",$C7="AI Integration"))</formula>
    </cfRule>
    <cfRule type="expression" dxfId="1" priority="14">
      <formula>AND(M$6&gt;=$D7,M$6&lt;=$E7,NOT(OR($C7="Flutter",$C7="AI Integration")))</formula>
    </cfRule>
  </conditionalFormatting>
  <conditionalFormatting sqref="N7:N21">
    <cfRule type="expression" dxfId="0" priority="15">
      <formula>AND(N$6&gt;=$D7,N$6&lt;=$E7,OR($C7="Flutter",$C7="AI Integration"))</formula>
    </cfRule>
    <cfRule type="expression" dxfId="1" priority="16">
      <formula>AND(N$6&gt;=$D7,N$6&lt;=$E7,NOT(OR($C7="Flutter",$C7="AI Integration")))</formula>
    </cfRule>
  </conditionalFormatting>
  <conditionalFormatting sqref="O7:O21">
    <cfRule type="expression" dxfId="0" priority="17">
      <formula>AND(O$6&gt;=$D7,O$6&lt;=$E7,OR($C7="Flutter",$C7="AI Integration"))</formula>
    </cfRule>
    <cfRule type="expression" dxfId="1" priority="18">
      <formula>AND(O$6&gt;=$D7,O$6&lt;=$E7,NOT(OR($C7="Flutter",$C7="AI Integration")))</formula>
    </cfRule>
  </conditionalFormatting>
  <conditionalFormatting sqref="P7:P21">
    <cfRule type="expression" dxfId="0" priority="19">
      <formula>AND(P$6&gt;=$D7,P$6&lt;=$E7,OR($C7="Flutter",$C7="AI Integration"))</formula>
    </cfRule>
    <cfRule type="expression" dxfId="1" priority="20">
      <formula>AND(P$6&gt;=$D7,P$6&lt;=$E7,NOT(OR($C7="Flutter",$C7="AI Integration")))</formula>
    </cfRule>
  </conditionalFormatting>
  <conditionalFormatting sqref="Q7:Q21">
    <cfRule type="expression" dxfId="0" priority="21">
      <formula>AND(Q$6&gt;=$D7,Q$6&lt;=$E7,OR($C7="Flutter",$C7="AI Integration"))</formula>
    </cfRule>
    <cfRule type="expression" dxfId="1" priority="22">
      <formula>AND(Q$6&gt;=$D7,Q$6&lt;=$E7,NOT(OR($C7="Flutter",$C7="AI Integration")))</formula>
    </cfRule>
  </conditionalFormatting>
  <conditionalFormatting sqref="R7:R21">
    <cfRule type="expression" dxfId="0" priority="23">
      <formula>AND(R$6&gt;=$D7,R$6&lt;=$E7,OR($C7="Flutter",$C7="AI Integration"))</formula>
    </cfRule>
    <cfRule type="expression" dxfId="1" priority="24">
      <formula>AND(R$6&gt;=$D7,R$6&lt;=$E7,NOT(OR($C7="Flutter",$C7="AI Integration")))</formula>
    </cfRule>
  </conditionalFormatting>
  <conditionalFormatting sqref="S7:S21">
    <cfRule type="expression" dxfId="0" priority="25">
      <formula>AND(S$6&gt;=$D7,S$6&lt;=$E7,OR($C7="Flutter",$C7="AI Integration"))</formula>
    </cfRule>
    <cfRule type="expression" dxfId="1" priority="26">
      <formula>AND(S$6&gt;=$D7,S$6&lt;=$E7,NOT(OR($C7="Flutter",$C7="AI Integration")))</formula>
    </cfRule>
  </conditionalFormatting>
  <conditionalFormatting sqref="T7:T21">
    <cfRule type="expression" dxfId="0" priority="27">
      <formula>AND(T$6&gt;=$D7,T$6&lt;=$E7,OR($C7="Flutter",$C7="AI Integration"))</formula>
    </cfRule>
    <cfRule type="expression" dxfId="1" priority="28">
      <formula>AND(T$6&gt;=$D7,T$6&lt;=$E7,NOT(OR($C7="Flutter",$C7="AI Integration")))</formula>
    </cfRule>
  </conditionalFormatting>
  <conditionalFormatting sqref="U7:U21">
    <cfRule type="expression" dxfId="0" priority="29">
      <formula>AND(U$6&gt;=$D7,U$6&lt;=$E7,OR($C7="Flutter",$C7="AI Integration"))</formula>
    </cfRule>
    <cfRule type="expression" dxfId="1" priority="30">
      <formula>AND(U$6&gt;=$D7,U$6&lt;=$E7,NOT(OR($C7="Flutter",$C7="AI Integration")))</formula>
    </cfRule>
  </conditionalFormatting>
  <conditionalFormatting sqref="V7:V21">
    <cfRule type="expression" dxfId="0" priority="31">
      <formula>AND(V$6&gt;=$D7,V$6&lt;=$E7,OR($C7="Flutter",$C7="AI Integration"))</formula>
    </cfRule>
    <cfRule type="expression" dxfId="1" priority="32">
      <formula>AND(V$6&gt;=$D7,V$6&lt;=$E7,NOT(OR($C7="Flutter",$C7="AI Integration")))</formula>
    </cfRule>
  </conditionalFormatting>
  <conditionalFormatting sqref="W7:W21">
    <cfRule type="expression" dxfId="0" priority="33">
      <formula>AND(W$6&gt;=$D7,W$6&lt;=$E7,OR($C7="Flutter",$C7="AI Integration"))</formula>
    </cfRule>
    <cfRule type="expression" dxfId="1" priority="34">
      <formula>AND(W$6&gt;=$D7,W$6&lt;=$E7,NOT(OR($C7="Flutter",$C7="AI Integration")))</formula>
    </cfRule>
  </conditionalFormatting>
  <conditionalFormatting sqref="X7:X21">
    <cfRule type="expression" dxfId="0" priority="35">
      <formula>AND(X$6&gt;=$D7,X$6&lt;=$E7,OR($C7="Flutter",$C7="AI Integration"))</formula>
    </cfRule>
    <cfRule type="expression" dxfId="1" priority="36">
      <formula>AND(X$6&gt;=$D7,X$6&lt;=$E7,NOT(OR($C7="Flutter",$C7="AI Integration")))</formula>
    </cfRule>
  </conditionalFormatting>
  <conditionalFormatting sqref="Y7:Y21">
    <cfRule type="expression" dxfId="0" priority="37">
      <formula>AND(Y$6&gt;=$D7,Y$6&lt;=$E7,OR($C7="Flutter",$C7="AI Integration"))</formula>
    </cfRule>
    <cfRule type="expression" dxfId="1" priority="38">
      <formula>AND(Y$6&gt;=$D7,Y$6&lt;=$E7,NOT(OR($C7="Flutter",$C7="AI Integration")))</formula>
    </cfRule>
  </conditionalFormatting>
  <conditionalFormatting sqref="Z7:Z21">
    <cfRule type="expression" dxfId="0" priority="39">
      <formula>AND(Z$6&gt;=$D7,Z$6&lt;=$E7,OR($C7="Flutter",$C7="AI Integration"))</formula>
    </cfRule>
    <cfRule type="expression" dxfId="1" priority="40">
      <formula>AND(Z$6&gt;=$D7,Z$6&lt;=$E7,NOT(OR($C7="Flutter",$C7="AI Integration")))</formula>
    </cfRule>
  </conditionalFormatting>
  <conditionalFormatting sqref="AA7:AA21">
    <cfRule type="expression" dxfId="0" priority="41">
      <formula>AND(AA$6&gt;=$D7,AA$6&lt;=$E7,OR($C7="Flutter",$C7="AI Integration"))</formula>
    </cfRule>
    <cfRule type="expression" dxfId="1" priority="42">
      <formula>AND(AA$6&gt;=$D7,AA$6&lt;=$E7,NOT(OR($C7="Flutter",$C7="AI Integration")))</formula>
    </cfRule>
  </conditionalFormatting>
  <conditionalFormatting sqref="AB7:AB21">
    <cfRule type="expression" dxfId="0" priority="43">
      <formula>AND(AB$6&gt;=$D7,AB$6&lt;=$E7,OR($C7="Flutter",$C7="AI Integration"))</formula>
    </cfRule>
    <cfRule type="expression" dxfId="1" priority="44">
      <formula>AND(AB$6&gt;=$D7,AB$6&lt;=$E7,NOT(OR($C7="Flutter",$C7="AI Integration")))</formula>
    </cfRule>
  </conditionalFormatting>
  <conditionalFormatting sqref="AC7:AC21">
    <cfRule type="expression" dxfId="0" priority="45">
      <formula>AND(AC$6&gt;=$D7,AC$6&lt;=$E7,OR($C7="Flutter",$C7="AI Integration"))</formula>
    </cfRule>
    <cfRule type="expression" dxfId="1" priority="46">
      <formula>AND(AC$6&gt;=$D7,AC$6&lt;=$E7,NOT(OR($C7="Flutter",$C7="AI Integration")))</formula>
    </cfRule>
  </conditionalFormatting>
  <conditionalFormatting sqref="AD7:AD21">
    <cfRule type="expression" dxfId="0" priority="47">
      <formula>AND(AD$6&gt;=$D7,AD$6&lt;=$E7,OR($C7="Flutter",$C7="AI Integration"))</formula>
    </cfRule>
    <cfRule type="expression" dxfId="1" priority="48">
      <formula>AND(AD$6&gt;=$D7,AD$6&lt;=$E7,NOT(OR($C7="Flutter",$C7="AI Integration")))</formula>
    </cfRule>
  </conditionalFormatting>
  <conditionalFormatting sqref="AE7:AE21">
    <cfRule type="expression" dxfId="0" priority="49">
      <formula>AND(AE$6&gt;=$D7,AE$6&lt;=$E7,OR($C7="Flutter",$C7="AI Integration"))</formula>
    </cfRule>
    <cfRule type="expression" dxfId="1" priority="50">
      <formula>AND(AE$6&gt;=$D7,AE$6&lt;=$E7,NOT(OR($C7="Flutter",$C7="AI Integration")))</formula>
    </cfRule>
  </conditionalFormatting>
  <conditionalFormatting sqref="AF7:AF21">
    <cfRule type="expression" dxfId="0" priority="51">
      <formula>AND(AF$6&gt;=$D7,AF$6&lt;=$E7,OR($C7="Flutter",$C7="AI Integration"))</formula>
    </cfRule>
    <cfRule type="expression" dxfId="1" priority="52">
      <formula>AND(AF$6&gt;=$D7,AF$6&lt;=$E7,NOT(OR($C7="Flutter",$C7="AI Integration")))</formula>
    </cfRule>
  </conditionalFormatting>
  <conditionalFormatting sqref="AG7:AG21">
    <cfRule type="expression" dxfId="0" priority="53">
      <formula>AND(AG$6&gt;=$D7,AG$6&lt;=$E7,OR($C7="Flutter",$C7="AI Integration"))</formula>
    </cfRule>
    <cfRule type="expression" dxfId="1" priority="54">
      <formula>AND(AG$6&gt;=$D7,AG$6&lt;=$E7,NOT(OR($C7="Flutter",$C7="AI Integration")))</formula>
    </cfRule>
  </conditionalFormatting>
  <conditionalFormatting sqref="AH7:AH21">
    <cfRule type="expression" dxfId="0" priority="55">
      <formula>AND(AH$6&gt;=$D7,AH$6&lt;=$E7,OR($C7="Flutter",$C7="AI Integration"))</formula>
    </cfRule>
    <cfRule type="expression" dxfId="1" priority="56">
      <formula>AND(AH$6&gt;=$D7,AH$6&lt;=$E7,NOT(OR($C7="Flutter",$C7="AI Integration")))</formula>
    </cfRule>
  </conditionalFormatting>
  <conditionalFormatting sqref="AI7:AI21">
    <cfRule type="expression" dxfId="0" priority="57">
      <formula>AND(AI$6&gt;=$D7,AI$6&lt;=$E7,OR($C7="Flutter",$C7="AI Integration"))</formula>
    </cfRule>
    <cfRule type="expression" dxfId="1" priority="58">
      <formula>AND(AI$6&gt;=$D7,AI$6&lt;=$E7,NOT(OR($C7="Flutter",$C7="AI Integration")))</formula>
    </cfRule>
  </conditionalFormatting>
  <conditionalFormatting sqref="AJ7:AJ21">
    <cfRule type="expression" dxfId="0" priority="59">
      <formula>AND(AJ$6&gt;=$D7,AJ$6&lt;=$E7,OR($C7="Flutter",$C7="AI Integration"))</formula>
    </cfRule>
    <cfRule type="expression" dxfId="1" priority="60">
      <formula>AND(AJ$6&gt;=$D7,AJ$6&lt;=$E7,NOT(OR($C7="Flutter",$C7="AI Integration")))</formula>
    </cfRule>
  </conditionalFormatting>
  <conditionalFormatting sqref="AK7:AK21">
    <cfRule type="expression" dxfId="0" priority="61">
      <formula>AND(AK$6&gt;=$D7,AK$6&lt;=$E7,OR($C7="Flutter",$C7="AI Integration"))</formula>
    </cfRule>
    <cfRule type="expression" dxfId="1" priority="62">
      <formula>AND(AK$6&gt;=$D7,AK$6&lt;=$E7,NOT(OR($C7="Flutter",$C7="AI Integration")))</formula>
    </cfRule>
  </conditionalFormatting>
  <conditionalFormatting sqref="AL7:AL21">
    <cfRule type="expression" dxfId="0" priority="63">
      <formula>AND(AL$6&gt;=$D7,AL$6&lt;=$E7,OR($C7="Flutter",$C7="AI Integration"))</formula>
    </cfRule>
    <cfRule type="expression" dxfId="1" priority="64">
      <formula>AND(AL$6&gt;=$D7,AL$6&lt;=$E7,NOT(OR($C7="Flutter",$C7="AI Integration")))</formula>
    </cfRule>
  </conditionalFormatting>
  <conditionalFormatting sqref="AM7:AM21">
    <cfRule type="expression" dxfId="0" priority="65">
      <formula>AND(AM$6&gt;=$D7,AM$6&lt;=$E7,OR($C7="Flutter",$C7="AI Integration"))</formula>
    </cfRule>
    <cfRule type="expression" dxfId="1" priority="66">
      <formula>AND(AM$6&gt;=$D7,AM$6&lt;=$E7,NOT(OR($C7="Flutter",$C7="AI Integration")))</formula>
    </cfRule>
  </conditionalFormatting>
  <conditionalFormatting sqref="AN7:AN21">
    <cfRule type="expression" dxfId="0" priority="67">
      <formula>AND(AN$6&gt;=$D7,AN$6&lt;=$E7,OR($C7="Flutter",$C7="AI Integration"))</formula>
    </cfRule>
    <cfRule type="expression" dxfId="1" priority="68">
      <formula>AND(AN$6&gt;=$D7,AN$6&lt;=$E7,NOT(OR($C7="Flutter",$C7="AI Integration")))</formula>
    </cfRule>
  </conditionalFormatting>
  <conditionalFormatting sqref="AO7:AO21">
    <cfRule type="expression" dxfId="0" priority="69">
      <formula>AND(AO$6&gt;=$D7,AO$6&lt;=$E7,OR($C7="Flutter",$C7="AI Integration"))</formula>
    </cfRule>
    <cfRule type="expression" dxfId="1" priority="70">
      <formula>AND(AO$6&gt;=$D7,AO$6&lt;=$E7,NOT(OR($C7="Flutter",$C7="AI Integration")))</formula>
    </cfRule>
  </conditionalFormatting>
  <conditionalFormatting sqref="AP7:AP21">
    <cfRule type="expression" dxfId="0" priority="71">
      <formula>AND(AP$6&gt;=$D7,AP$6&lt;=$E7,OR($C7="Flutter",$C7="AI Integration"))</formula>
    </cfRule>
    <cfRule type="expression" dxfId="1" priority="72">
      <formula>AND(AP$6&gt;=$D7,AP$6&lt;=$E7,NOT(OR($C7="Flutter",$C7="AI Integration")))</formula>
    </cfRule>
  </conditionalFormatting>
  <conditionalFormatting sqref="AQ7:AQ21">
    <cfRule type="expression" dxfId="0" priority="73">
      <formula>AND(AQ$6&gt;=$D7,AQ$6&lt;=$E7,OR($C7="Flutter",$C7="AI Integration"))</formula>
    </cfRule>
    <cfRule type="expression" dxfId="1" priority="74">
      <formula>AND(AQ$6&gt;=$D7,AQ$6&lt;=$E7,NOT(OR($C7="Flutter",$C7="AI Integration")))</formula>
    </cfRule>
  </conditionalFormatting>
  <conditionalFormatting sqref="AR7:AR21">
    <cfRule type="expression" dxfId="0" priority="75">
      <formula>AND(AR$6&gt;=$D7,AR$6&lt;=$E7,OR($C7="Flutter",$C7="AI Integration"))</formula>
    </cfRule>
    <cfRule type="expression" dxfId="1" priority="76">
      <formula>AND(AR$6&gt;=$D7,AR$6&lt;=$E7,NOT(OR($C7="Flutter",$C7="AI Integration")))</formula>
    </cfRule>
  </conditionalFormatting>
  <conditionalFormatting sqref="AS7:AS21">
    <cfRule type="expression" dxfId="0" priority="77">
      <formula>AND(AS$6&gt;=$D7,AS$6&lt;=$E7,OR($C7="Flutter",$C7="AI Integration"))</formula>
    </cfRule>
    <cfRule type="expression" dxfId="1" priority="78">
      <formula>AND(AS$6&gt;=$D7,AS$6&lt;=$E7,NOT(OR($C7="Flutter",$C7="AI Integration")))</formula>
    </cfRule>
  </conditionalFormatting>
  <conditionalFormatting sqref="AT7:AT21">
    <cfRule type="expression" dxfId="0" priority="79">
      <formula>AND(AT$6&gt;=$D7,AT$6&lt;=$E7,OR($C7="Flutter",$C7="AI Integration"))</formula>
    </cfRule>
    <cfRule type="expression" dxfId="1" priority="80">
      <formula>AND(AT$6&gt;=$D7,AT$6&lt;=$E7,NOT(OR($C7="Flutter",$C7="AI Integration")))</formula>
    </cfRule>
  </conditionalFormatting>
  <conditionalFormatting sqref="AU7:AU21">
    <cfRule type="expression" dxfId="0" priority="81">
      <formula>AND(AU$6&gt;=$D7,AU$6&lt;=$E7,OR($C7="Flutter",$C7="AI Integration"))</formula>
    </cfRule>
    <cfRule type="expression" dxfId="1" priority="82">
      <formula>AND(AU$6&gt;=$D7,AU$6&lt;=$E7,NOT(OR($C7="Flutter",$C7="AI Integration")))</formula>
    </cfRule>
  </conditionalFormatting>
  <conditionalFormatting sqref="AV7:AV21">
    <cfRule type="expression" dxfId="0" priority="83">
      <formula>AND(AV$6&gt;=$D7,AV$6&lt;=$E7,OR($C7="Flutter",$C7="AI Integration"))</formula>
    </cfRule>
    <cfRule type="expression" dxfId="1" priority="84">
      <formula>AND(AV$6&gt;=$D7,AV$6&lt;=$E7,NOT(OR($C7="Flutter",$C7="AI Integration")))</formula>
    </cfRule>
  </conditionalFormatting>
  <conditionalFormatting sqref="AW7:AW21">
    <cfRule type="expression" dxfId="0" priority="85">
      <formula>AND(AW$6&gt;=$D7,AW$6&lt;=$E7,OR($C7="Flutter",$C7="AI Integration"))</formula>
    </cfRule>
    <cfRule type="expression" dxfId="1" priority="86">
      <formula>AND(AW$6&gt;=$D7,AW$6&lt;=$E7,NOT(OR($C7="Flutter",$C7="AI Integration")))</formula>
    </cfRule>
  </conditionalFormatting>
  <conditionalFormatting sqref="AX7:AX21">
    <cfRule type="expression" dxfId="0" priority="87">
      <formula>AND(AX$6&gt;=$D7,AX$6&lt;=$E7,OR($C7="Flutter",$C7="AI Integration"))</formula>
    </cfRule>
    <cfRule type="expression" dxfId="1" priority="88">
      <formula>AND(AX$6&gt;=$D7,AX$6&lt;=$E7,NOT(OR($C7="Flutter",$C7="AI Integration")))</formula>
    </cfRule>
  </conditionalFormatting>
  <conditionalFormatting sqref="AY7:AY21">
    <cfRule type="expression" dxfId="0" priority="89">
      <formula>AND(AY$6&gt;=$D7,AY$6&lt;=$E7,OR($C7="Flutter",$C7="AI Integration"))</formula>
    </cfRule>
    <cfRule type="expression" dxfId="1" priority="90">
      <formula>AND(AY$6&gt;=$D7,AY$6&lt;=$E7,NOT(OR($C7="Flutter",$C7="AI Integration")))</formula>
    </cfRule>
  </conditionalFormatting>
  <conditionalFormatting sqref="AZ7:AZ21">
    <cfRule type="expression" dxfId="0" priority="91">
      <formula>AND(AZ$6&gt;=$D7,AZ$6&lt;=$E7,OR($C7="Flutter",$C7="AI Integration"))</formula>
    </cfRule>
    <cfRule type="expression" dxfId="1" priority="92">
      <formula>AND(AZ$6&gt;=$D7,AZ$6&lt;=$E7,NOT(OR($C7="Flutter",$C7="AI Integration")))</formula>
    </cfRule>
  </conditionalFormatting>
  <conditionalFormatting sqref="BA7:BA21">
    <cfRule type="expression" dxfId="0" priority="93">
      <formula>AND(BA$6&gt;=$D7,BA$6&lt;=$E7,OR($C7="Flutter",$C7="AI Integration"))</formula>
    </cfRule>
    <cfRule type="expression" dxfId="1" priority="94">
      <formula>AND(BA$6&gt;=$D7,BA$6&lt;=$E7,NOT(OR($C7="Flutter",$C7="AI Integration")))</formula>
    </cfRule>
  </conditionalFormatting>
  <conditionalFormatting sqref="BB7:BB21">
    <cfRule type="expression" dxfId="0" priority="95">
      <formula>AND(BB$6&gt;=$D7,BB$6&lt;=$E7,OR($C7="Flutter",$C7="AI Integration"))</formula>
    </cfRule>
    <cfRule type="expression" dxfId="1" priority="96">
      <formula>AND(BB$6&gt;=$D7,BB$6&lt;=$E7,NOT(OR($C7="Flutter",$C7="AI Integration")))</formula>
    </cfRule>
  </conditionalFormatting>
  <conditionalFormatting sqref="BC7:BC21">
    <cfRule type="expression" dxfId="0" priority="97">
      <formula>AND(BC$6&gt;=$D7,BC$6&lt;=$E7,OR($C7="Flutter",$C7="AI Integration"))</formula>
    </cfRule>
    <cfRule type="expression" dxfId="1" priority="98">
      <formula>AND(BC$6&gt;=$D7,BC$6&lt;=$E7,NOT(OR($C7="Flutter",$C7="AI Integration")))</formula>
    </cfRule>
  </conditionalFormatting>
  <conditionalFormatting sqref="BD7:BD21">
    <cfRule type="expression" dxfId="0" priority="99">
      <formula>AND(BD$6&gt;=$D7,BD$6&lt;=$E7,OR($C7="Flutter",$C7="AI Integration"))</formula>
    </cfRule>
    <cfRule type="expression" dxfId="1" priority="100">
      <formula>AND(BD$6&gt;=$D7,BD$6&lt;=$E7,NOT(OR($C7="Flutter",$C7="AI Integration")))</formula>
    </cfRule>
  </conditionalFormatting>
  <conditionalFormatting sqref="BE7:BE21">
    <cfRule type="expression" dxfId="0" priority="101">
      <formula>AND(BE$6&gt;=$D7,BE$6&lt;=$E7,OR($C7="Flutter",$C7="AI Integration"))</formula>
    </cfRule>
    <cfRule type="expression" dxfId="1" priority="102">
      <formula>AND(BE$6&gt;=$D7,BE$6&lt;=$E7,NOT(OR($C7="Flutter",$C7="AI Integration")))</formula>
    </cfRule>
  </conditionalFormatting>
  <conditionalFormatting sqref="BF7:BF21">
    <cfRule type="expression" dxfId="0" priority="103">
      <formula>AND(BF$6&gt;=$D7,BF$6&lt;=$E7,OR($C7="Flutter",$C7="AI Integration"))</formula>
    </cfRule>
    <cfRule type="expression" dxfId="1" priority="104">
      <formula>AND(BF$6&gt;=$D7,BF$6&lt;=$E7,NOT(OR($C7="Flutter",$C7="AI Integration")))</formula>
    </cfRule>
  </conditionalFormatting>
  <conditionalFormatting sqref="BG7:BG21">
    <cfRule type="expression" dxfId="0" priority="105">
      <formula>AND(BG$6&gt;=$D7,BG$6&lt;=$E7,OR($C7="Flutter",$C7="AI Integration"))</formula>
    </cfRule>
    <cfRule type="expression" dxfId="1" priority="106">
      <formula>AND(BG$6&gt;=$D7,BG$6&lt;=$E7,NOT(OR($C7="Flutter",$C7="AI Integration")))</formula>
    </cfRule>
  </conditionalFormatting>
  <conditionalFormatting sqref="BH7:BH21">
    <cfRule type="expression" dxfId="0" priority="107">
      <formula>AND(BH$6&gt;=$D7,BH$6&lt;=$E7,OR($C7="Flutter",$C7="AI Integration"))</formula>
    </cfRule>
    <cfRule type="expression" dxfId="1" priority="108">
      <formula>AND(BH$6&gt;=$D7,BH$6&lt;=$E7,NOT(OR($C7="Flutter",$C7="AI Integration")))</formula>
    </cfRule>
  </conditionalFormatting>
  <conditionalFormatting sqref="BI7:BI21">
    <cfRule type="expression" dxfId="0" priority="109">
      <formula>AND(BI$6&gt;=$D7,BI$6&lt;=$E7,OR($C7="Flutter",$C7="AI Integration"))</formula>
    </cfRule>
    <cfRule type="expression" dxfId="1" priority="110">
      <formula>AND(BI$6&gt;=$D7,BI$6&lt;=$E7,NOT(OR($C7="Flutter",$C7="AI Integration")))</formula>
    </cfRule>
  </conditionalFormatting>
  <conditionalFormatting sqref="BJ7:BJ21">
    <cfRule type="expression" dxfId="0" priority="111">
      <formula>AND(BJ$6&gt;=$D7,BJ$6&lt;=$E7,OR($C7="Flutter",$C7="AI Integration"))</formula>
    </cfRule>
    <cfRule type="expression" dxfId="1" priority="112">
      <formula>AND(BJ$6&gt;=$D7,BJ$6&lt;=$E7,NOT(OR($C7="Flutter",$C7="AI Integration")))</formula>
    </cfRule>
  </conditionalFormatting>
  <conditionalFormatting sqref="BK7:BK21">
    <cfRule type="expression" dxfId="0" priority="113">
      <formula>AND(BK$6&gt;=$D7,BK$6&lt;=$E7,OR($C7="Flutter",$C7="AI Integration"))</formula>
    </cfRule>
    <cfRule type="expression" dxfId="1" priority="114">
      <formula>AND(BK$6&gt;=$D7,BK$6&lt;=$E7,NOT(OR($C7="Flutter",$C7="AI Integration")))</formula>
    </cfRule>
  </conditionalFormatting>
  <conditionalFormatting sqref="BL7:BL21">
    <cfRule type="expression" dxfId="0" priority="115">
      <formula>AND(BL$6&gt;=$D7,BL$6&lt;=$E7,OR($C7="Flutter",$C7="AI Integration"))</formula>
    </cfRule>
    <cfRule type="expression" dxfId="1" priority="116">
      <formula>AND(BL$6&gt;=$D7,BL$6&lt;=$E7,NOT(OR($C7="Flutter",$C7="AI Integration")))</formula>
    </cfRule>
  </conditionalFormatting>
  <pageMargins left="0.25" right="0.25" top="0.5" bottom="0.5" header="0.5" footer="0.5"/>
  <pageSetup paperSize="8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showGridLines="0" zoomScale="62" zoomScaleNormal="62" workbookViewId="0">
      <pane ySplit="4" topLeftCell="A5" activePane="bottomLeft" state="frozen"/>
      <selection/>
      <selection pane="bottomLeft" activeCell="A1" sqref="A1:G1"/>
    </sheetView>
  </sheetViews>
  <sheetFormatPr defaultColWidth="9" defaultRowHeight="14.4"/>
  <cols>
    <col min="1" max="1" width="6" customWidth="1"/>
    <col min="2" max="2" width="36" customWidth="1"/>
    <col min="3" max="3" width="22" customWidth="1"/>
    <col min="4" max="5" width="15" customWidth="1"/>
    <col min="6" max="7" width="16" customWidth="1"/>
    <col min="8" max="8" width="12" customWidth="1"/>
    <col min="9" max="9" width="64" customWidth="1"/>
  </cols>
  <sheetData>
    <row r="1" ht="32" customHeight="1" spans="1:9">
      <c r="A1" s="4" t="s">
        <v>43</v>
      </c>
    </row>
    <row r="2" spans="1:9">
      <c r="A2" s="10" t="s">
        <v>44</v>
      </c>
    </row>
    <row r="4" spans="1:9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45</v>
      </c>
      <c r="H4" s="5" t="s">
        <v>46</v>
      </c>
      <c r="I4" s="5" t="s">
        <v>47</v>
      </c>
    </row>
    <row r="5" ht="38" customHeight="1" spans="1:9">
      <c r="A5" s="8">
        <v>1</v>
      </c>
      <c r="B5" s="8" t="s">
        <v>11</v>
      </c>
      <c r="C5" s="8" t="s">
        <v>12</v>
      </c>
      <c r="D5" s="9">
        <v>46303</v>
      </c>
      <c r="E5" s="9">
        <v>46308</v>
      </c>
      <c r="F5" s="8">
        <f t="shared" ref="F5:F19" si="0">E5-D5+1</f>
        <v>6</v>
      </c>
      <c r="G5" s="8" t="s">
        <v>48</v>
      </c>
      <c r="H5" s="11">
        <v>0</v>
      </c>
      <c r="I5" s="8" t="s">
        <v>49</v>
      </c>
    </row>
    <row r="6" ht="38" customHeight="1" spans="1:9">
      <c r="A6" s="6">
        <v>2</v>
      </c>
      <c r="B6" s="6" t="s">
        <v>13</v>
      </c>
      <c r="C6" s="6" t="s">
        <v>14</v>
      </c>
      <c r="D6" s="7">
        <v>46305</v>
      </c>
      <c r="E6" s="7">
        <v>46311</v>
      </c>
      <c r="F6" s="6">
        <f t="shared" si="0"/>
        <v>7</v>
      </c>
      <c r="G6" s="6" t="s">
        <v>48</v>
      </c>
      <c r="H6" s="12">
        <v>0</v>
      </c>
      <c r="I6" s="6" t="s">
        <v>50</v>
      </c>
    </row>
    <row r="7" ht="38" customHeight="1" spans="1:9">
      <c r="A7" s="8">
        <v>3</v>
      </c>
      <c r="B7" s="8" t="s">
        <v>15</v>
      </c>
      <c r="C7" s="8" t="s">
        <v>12</v>
      </c>
      <c r="D7" s="9">
        <v>46307</v>
      </c>
      <c r="E7" s="9">
        <v>46311</v>
      </c>
      <c r="F7" s="8">
        <f t="shared" si="0"/>
        <v>5</v>
      </c>
      <c r="G7" s="8" t="s">
        <v>48</v>
      </c>
      <c r="H7" s="11">
        <v>0</v>
      </c>
      <c r="I7" s="8" t="s">
        <v>51</v>
      </c>
    </row>
    <row r="8" ht="38" customHeight="1" spans="1:9">
      <c r="A8" s="6">
        <v>4</v>
      </c>
      <c r="B8" s="6" t="s">
        <v>16</v>
      </c>
      <c r="C8" s="6" t="s">
        <v>17</v>
      </c>
      <c r="D8" s="7">
        <v>46309</v>
      </c>
      <c r="E8" s="7">
        <v>46317</v>
      </c>
      <c r="F8" s="6">
        <f t="shared" si="0"/>
        <v>9</v>
      </c>
      <c r="G8" s="6" t="s">
        <v>48</v>
      </c>
      <c r="H8" s="12">
        <v>0</v>
      </c>
      <c r="I8" s="6" t="s">
        <v>52</v>
      </c>
    </row>
    <row r="9" ht="38" customHeight="1" spans="1:9">
      <c r="A9" s="8">
        <v>5</v>
      </c>
      <c r="B9" s="8" t="s">
        <v>18</v>
      </c>
      <c r="C9" s="8" t="s">
        <v>19</v>
      </c>
      <c r="D9" s="9">
        <v>46312</v>
      </c>
      <c r="E9" s="9">
        <v>46319</v>
      </c>
      <c r="F9" s="8">
        <f t="shared" si="0"/>
        <v>8</v>
      </c>
      <c r="G9" s="8" t="s">
        <v>48</v>
      </c>
      <c r="H9" s="11">
        <v>0</v>
      </c>
      <c r="I9" s="8" t="s">
        <v>53</v>
      </c>
    </row>
    <row r="10" ht="38" customHeight="1" spans="1:9">
      <c r="A10" s="6">
        <v>6</v>
      </c>
      <c r="B10" s="6" t="s">
        <v>20</v>
      </c>
      <c r="C10" s="6" t="s">
        <v>21</v>
      </c>
      <c r="D10" s="7">
        <v>46315</v>
      </c>
      <c r="E10" s="7">
        <v>46319</v>
      </c>
      <c r="F10" s="6">
        <f t="shared" si="0"/>
        <v>5</v>
      </c>
      <c r="G10" s="6" t="s">
        <v>48</v>
      </c>
      <c r="H10" s="12">
        <v>0</v>
      </c>
      <c r="I10" s="6" t="s">
        <v>54</v>
      </c>
    </row>
    <row r="11" ht="38" customHeight="1" spans="1:9">
      <c r="A11" s="8">
        <v>7</v>
      </c>
      <c r="B11" s="8" t="s">
        <v>22</v>
      </c>
      <c r="C11" s="8" t="s">
        <v>21</v>
      </c>
      <c r="D11" s="9">
        <v>46318</v>
      </c>
      <c r="E11" s="9">
        <v>46330</v>
      </c>
      <c r="F11" s="8">
        <f t="shared" si="0"/>
        <v>13</v>
      </c>
      <c r="G11" s="8" t="s">
        <v>48</v>
      </c>
      <c r="H11" s="11">
        <v>0</v>
      </c>
      <c r="I11" s="8" t="s">
        <v>55</v>
      </c>
    </row>
    <row r="12" ht="38" customHeight="1" spans="1:9">
      <c r="A12" s="6">
        <v>8</v>
      </c>
      <c r="B12" s="6" t="s">
        <v>23</v>
      </c>
      <c r="C12" s="6" t="s">
        <v>21</v>
      </c>
      <c r="D12" s="7">
        <v>46324</v>
      </c>
      <c r="E12" s="7">
        <v>46333</v>
      </c>
      <c r="F12" s="6">
        <f t="shared" si="0"/>
        <v>10</v>
      </c>
      <c r="G12" s="6" t="s">
        <v>48</v>
      </c>
      <c r="H12" s="12">
        <v>0</v>
      </c>
      <c r="I12" s="6" t="s">
        <v>56</v>
      </c>
    </row>
    <row r="13" ht="38" customHeight="1" spans="1:9">
      <c r="A13" s="8">
        <v>9</v>
      </c>
      <c r="B13" s="8" t="s">
        <v>24</v>
      </c>
      <c r="C13" s="8" t="s">
        <v>25</v>
      </c>
      <c r="D13" s="9">
        <v>46328</v>
      </c>
      <c r="E13" s="9">
        <v>46338</v>
      </c>
      <c r="F13" s="8">
        <f t="shared" si="0"/>
        <v>11</v>
      </c>
      <c r="G13" s="8" t="s">
        <v>48</v>
      </c>
      <c r="H13" s="11">
        <v>0</v>
      </c>
      <c r="I13" s="8" t="s">
        <v>57</v>
      </c>
    </row>
    <row r="14" ht="38" customHeight="1" spans="1:9">
      <c r="A14" s="6">
        <v>10</v>
      </c>
      <c r="B14" s="6" t="s">
        <v>26</v>
      </c>
      <c r="C14" s="6" t="s">
        <v>21</v>
      </c>
      <c r="D14" s="7">
        <v>46332</v>
      </c>
      <c r="E14" s="7">
        <v>46341</v>
      </c>
      <c r="F14" s="6">
        <f t="shared" si="0"/>
        <v>10</v>
      </c>
      <c r="G14" s="6" t="s">
        <v>48</v>
      </c>
      <c r="H14" s="12">
        <v>0</v>
      </c>
      <c r="I14" s="6" t="s">
        <v>58</v>
      </c>
    </row>
    <row r="15" ht="38" customHeight="1" spans="1:9">
      <c r="A15" s="8">
        <v>11</v>
      </c>
      <c r="B15" s="8" t="s">
        <v>27</v>
      </c>
      <c r="C15" s="8" t="s">
        <v>28</v>
      </c>
      <c r="D15" s="9">
        <v>46334</v>
      </c>
      <c r="E15" s="9">
        <v>46344</v>
      </c>
      <c r="F15" s="8">
        <f t="shared" si="0"/>
        <v>11</v>
      </c>
      <c r="G15" s="8" t="s">
        <v>48</v>
      </c>
      <c r="H15" s="11">
        <v>0</v>
      </c>
      <c r="I15" s="8" t="s">
        <v>59</v>
      </c>
    </row>
    <row r="16" ht="38" customHeight="1" spans="1:9">
      <c r="A16" s="6">
        <v>12</v>
      </c>
      <c r="B16" s="6" t="s">
        <v>29</v>
      </c>
      <c r="C16" s="6" t="s">
        <v>28</v>
      </c>
      <c r="D16" s="7">
        <v>46342</v>
      </c>
      <c r="E16" s="7">
        <v>46347</v>
      </c>
      <c r="F16" s="6">
        <f t="shared" si="0"/>
        <v>6</v>
      </c>
      <c r="G16" s="6" t="s">
        <v>48</v>
      </c>
      <c r="H16" s="12">
        <v>0</v>
      </c>
      <c r="I16" s="6" t="s">
        <v>60</v>
      </c>
    </row>
    <row r="17" ht="38" customHeight="1" spans="1:9">
      <c r="A17" s="8">
        <v>13</v>
      </c>
      <c r="B17" s="8" t="s">
        <v>30</v>
      </c>
      <c r="C17" s="8" t="s">
        <v>31</v>
      </c>
      <c r="D17" s="9">
        <v>46346</v>
      </c>
      <c r="E17" s="9">
        <v>46354</v>
      </c>
      <c r="F17" s="8">
        <f t="shared" si="0"/>
        <v>9</v>
      </c>
      <c r="G17" s="8" t="s">
        <v>48</v>
      </c>
      <c r="H17" s="11">
        <v>0</v>
      </c>
      <c r="I17" s="8" t="s">
        <v>61</v>
      </c>
    </row>
    <row r="18" ht="38" customHeight="1" spans="1:9">
      <c r="A18" s="6">
        <v>14</v>
      </c>
      <c r="B18" s="6" t="s">
        <v>32</v>
      </c>
      <c r="C18" s="6" t="s">
        <v>33</v>
      </c>
      <c r="D18" s="7">
        <v>46348</v>
      </c>
      <c r="E18" s="7">
        <v>46357</v>
      </c>
      <c r="F18" s="6">
        <f t="shared" si="0"/>
        <v>10</v>
      </c>
      <c r="G18" s="6" t="s">
        <v>48</v>
      </c>
      <c r="H18" s="12">
        <v>0</v>
      </c>
      <c r="I18" s="6" t="s">
        <v>62</v>
      </c>
    </row>
    <row r="19" ht="38" customHeight="1" spans="1:9">
      <c r="A19" s="8">
        <v>15</v>
      </c>
      <c r="B19" s="8" t="s">
        <v>34</v>
      </c>
      <c r="C19" s="8" t="s">
        <v>35</v>
      </c>
      <c r="D19" s="9">
        <v>46358</v>
      </c>
      <c r="E19" s="9">
        <v>46360</v>
      </c>
      <c r="F19" s="8">
        <f t="shared" si="0"/>
        <v>3</v>
      </c>
      <c r="G19" s="8" t="s">
        <v>48</v>
      </c>
      <c r="H19" s="11">
        <v>0</v>
      </c>
      <c r="I19" s="8" t="s">
        <v>63</v>
      </c>
    </row>
  </sheetData>
  <autoFilter xmlns:etc="http://www.wps.cn/officeDocument/2017/etCustomData" ref="A4:I19" etc:filterBottomFollowUsedRange="0">
    <extLst/>
  </autoFilter>
  <mergeCells count="2">
    <mergeCell ref="A1:G1"/>
    <mergeCell ref="A2:G2"/>
  </mergeCells>
  <dataValidations count="2">
    <dataValidation type="list" sqref="G5:G19">
      <formula1>"Not started,In progress,Completed,Blocked"</formula1>
    </dataValidation>
    <dataValidation type="decimal" operator="between" sqref="H5:H19">
      <formula1>0</formula1>
      <formula2>1</formula2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showGridLines="0" workbookViewId="0">
      <pane ySplit="3" topLeftCell="A4" activePane="bottomLeft" state="frozen"/>
      <selection/>
      <selection pane="bottomLeft" activeCell="C16" sqref="C16"/>
    </sheetView>
  </sheetViews>
  <sheetFormatPr defaultColWidth="9" defaultRowHeight="14.4" outlineLevelCol="3"/>
  <cols>
    <col min="1" max="1" width="38" customWidth="1"/>
    <col min="2" max="2" width="16" customWidth="1"/>
    <col min="3" max="3" width="60" customWidth="1"/>
    <col min="4" max="4" width="16" customWidth="1"/>
  </cols>
  <sheetData>
    <row r="1" ht="32" customHeight="1" spans="1:4">
      <c r="A1" s="4" t="s">
        <v>64</v>
      </c>
    </row>
    <row r="3" spans="1:4">
      <c r="A3" s="5" t="s">
        <v>65</v>
      </c>
      <c r="B3" s="5" t="s">
        <v>66</v>
      </c>
      <c r="C3" s="5" t="s">
        <v>67</v>
      </c>
      <c r="D3" s="5" t="s">
        <v>45</v>
      </c>
    </row>
    <row r="4" ht="36" customHeight="1" spans="1:4">
      <c r="A4" s="6" t="s">
        <v>68</v>
      </c>
      <c r="B4" s="7">
        <v>46311</v>
      </c>
      <c r="C4" s="6" t="s">
        <v>69</v>
      </c>
      <c r="D4" s="6" t="s">
        <v>70</v>
      </c>
    </row>
    <row r="5" ht="36" customHeight="1" spans="1:4">
      <c r="A5" s="8" t="s">
        <v>71</v>
      </c>
      <c r="B5" s="9">
        <v>46317</v>
      </c>
      <c r="C5" s="8" t="s">
        <v>72</v>
      </c>
      <c r="D5" s="8" t="s">
        <v>48</v>
      </c>
    </row>
    <row r="6" ht="36" customHeight="1" spans="1:4">
      <c r="A6" s="6" t="s">
        <v>73</v>
      </c>
      <c r="B6" s="7">
        <v>46319</v>
      </c>
      <c r="C6" s="6" t="s">
        <v>74</v>
      </c>
      <c r="D6" s="6" t="s">
        <v>48</v>
      </c>
    </row>
    <row r="7" ht="36" customHeight="1" spans="1:4">
      <c r="A7" s="8" t="s">
        <v>75</v>
      </c>
      <c r="B7" s="9">
        <v>46330</v>
      </c>
      <c r="C7" s="8" t="s">
        <v>76</v>
      </c>
      <c r="D7" s="8" t="s">
        <v>48</v>
      </c>
    </row>
    <row r="8" ht="36" customHeight="1" spans="1:4">
      <c r="A8" s="6" t="s">
        <v>77</v>
      </c>
      <c r="B8" s="7">
        <v>46338</v>
      </c>
      <c r="C8" s="6" t="s">
        <v>78</v>
      </c>
      <c r="D8" s="6" t="s">
        <v>48</v>
      </c>
    </row>
    <row r="9" ht="36" customHeight="1" spans="1:4">
      <c r="A9" s="8" t="s">
        <v>79</v>
      </c>
      <c r="B9" s="9">
        <v>46347</v>
      </c>
      <c r="C9" s="8" t="s">
        <v>80</v>
      </c>
      <c r="D9" s="8" t="s">
        <v>48</v>
      </c>
    </row>
    <row r="10" ht="36" customHeight="1" spans="1:4">
      <c r="A10" s="6" t="s">
        <v>81</v>
      </c>
      <c r="B10" s="7">
        <v>46354</v>
      </c>
      <c r="C10" s="6" t="s">
        <v>82</v>
      </c>
      <c r="D10" s="6" t="s">
        <v>48</v>
      </c>
    </row>
    <row r="11" ht="36" customHeight="1" spans="1:4">
      <c r="A11" s="8" t="s">
        <v>83</v>
      </c>
      <c r="B11" s="9">
        <v>46360</v>
      </c>
      <c r="C11" s="8" t="s">
        <v>84</v>
      </c>
      <c r="D11" s="8" t="s">
        <v>48</v>
      </c>
    </row>
  </sheetData>
  <mergeCells count="1">
    <mergeCell ref="A1:D1"/>
  </mergeCells>
  <dataValidations count="1">
    <dataValidation type="list" sqref="D4:D11">
      <formula1>"Not started,In progress,Completed,Blocked"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opLeftCell="A2" workbookViewId="0">
      <selection activeCell="A9" sqref="A9"/>
    </sheetView>
  </sheetViews>
  <sheetFormatPr defaultColWidth="8.88888888888889" defaultRowHeight="14.4" outlineLevelRow="7" outlineLevelCol="5"/>
  <cols>
    <col min="2" max="2" width="21.3333333333333" customWidth="1"/>
    <col min="3" max="3" width="30.5555555555556" customWidth="1"/>
    <col min="4" max="4" width="21.5555555555556" customWidth="1"/>
    <col min="5" max="5" width="23.6666666666667" customWidth="1"/>
  </cols>
  <sheetData>
    <row r="1" ht="28.8" spans="1:6">
      <c r="A1" s="1" t="s">
        <v>3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45</v>
      </c>
    </row>
    <row r="2" ht="100.8" spans="1:6">
      <c r="A2" s="2" t="s">
        <v>89</v>
      </c>
      <c r="B2" s="2" t="s">
        <v>90</v>
      </c>
      <c r="C2" s="2" t="s">
        <v>91</v>
      </c>
      <c r="D2" s="3">
        <v>46308</v>
      </c>
      <c r="E2" s="2" t="s">
        <v>92</v>
      </c>
      <c r="F2" s="2" t="s">
        <v>93</v>
      </c>
    </row>
    <row r="3" ht="86.4" spans="1:6">
      <c r="A3" s="2" t="s">
        <v>94</v>
      </c>
      <c r="B3" s="2" t="s">
        <v>95</v>
      </c>
      <c r="C3" s="2" t="s">
        <v>96</v>
      </c>
      <c r="D3" s="3">
        <v>46308</v>
      </c>
      <c r="E3" s="2" t="s">
        <v>97</v>
      </c>
      <c r="F3" s="2" t="s">
        <v>93</v>
      </c>
    </row>
    <row r="4" ht="28.8" spans="1:6">
      <c r="A4" s="2" t="s">
        <v>98</v>
      </c>
      <c r="B4" s="2" t="s">
        <v>16</v>
      </c>
      <c r="C4" s="2" t="s">
        <v>99</v>
      </c>
      <c r="D4" s="3">
        <v>46317</v>
      </c>
      <c r="E4" s="2" t="s">
        <v>92</v>
      </c>
      <c r="F4" s="2" t="s">
        <v>48</v>
      </c>
    </row>
    <row r="5" ht="28.8" spans="1:6">
      <c r="A5" s="2" t="s">
        <v>100</v>
      </c>
      <c r="B5" s="2" t="s">
        <v>101</v>
      </c>
      <c r="C5" s="2" t="s">
        <v>102</v>
      </c>
      <c r="D5" s="3">
        <v>46347</v>
      </c>
      <c r="E5" s="2" t="s">
        <v>92</v>
      </c>
      <c r="F5" s="2" t="s">
        <v>48</v>
      </c>
    </row>
    <row r="6" ht="28.8" spans="1:6">
      <c r="A6" s="2" t="s">
        <v>103</v>
      </c>
      <c r="B6" s="2" t="s">
        <v>25</v>
      </c>
      <c r="C6" s="2" t="s">
        <v>104</v>
      </c>
      <c r="D6" s="3">
        <v>46347</v>
      </c>
      <c r="E6" s="2" t="s">
        <v>105</v>
      </c>
      <c r="F6" s="2" t="s">
        <v>48</v>
      </c>
    </row>
    <row r="7" ht="28.8" spans="1:6">
      <c r="A7" s="2" t="s">
        <v>106</v>
      </c>
      <c r="B7" s="2" t="s">
        <v>107</v>
      </c>
      <c r="C7" s="2" t="s">
        <v>108</v>
      </c>
      <c r="D7" s="3">
        <v>46354</v>
      </c>
      <c r="E7" s="2" t="s">
        <v>109</v>
      </c>
      <c r="F7" s="2" t="s">
        <v>48</v>
      </c>
    </row>
    <row r="8" ht="28.8" spans="1:6">
      <c r="A8" s="2" t="s">
        <v>110</v>
      </c>
      <c r="B8" s="2" t="s">
        <v>111</v>
      </c>
      <c r="C8" s="2" t="s">
        <v>112</v>
      </c>
      <c r="D8" s="3">
        <v>46359</v>
      </c>
      <c r="E8" s="2" t="s">
        <v>92</v>
      </c>
      <c r="F8" s="2" t="s">
        <v>48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C5" sqref="C5"/>
    </sheetView>
  </sheetViews>
  <sheetFormatPr defaultColWidth="8.88888888888889" defaultRowHeight="14.4" outlineLevelCol="3"/>
  <cols>
    <col min="1" max="1" width="16.2222222222222" customWidth="1"/>
    <col min="2" max="2" width="21.7777777777778" customWidth="1"/>
    <col min="3" max="3" width="27.1111111111111" customWidth="1"/>
    <col min="4" max="4" width="31.2222222222222" customWidth="1"/>
  </cols>
  <sheetData>
    <row r="1" ht="28.8" spans="1:4">
      <c r="A1" s="1" t="s">
        <v>113</v>
      </c>
      <c r="B1" s="1" t="s">
        <v>114</v>
      </c>
      <c r="C1" s="1" t="s">
        <v>115</v>
      </c>
      <c r="D1" s="1" t="s">
        <v>116</v>
      </c>
    </row>
    <row r="2" ht="72" spans="1:4">
      <c r="A2" s="2" t="s">
        <v>117</v>
      </c>
      <c r="B2" s="2" t="s">
        <v>118</v>
      </c>
      <c r="C2" s="2" t="s">
        <v>119</v>
      </c>
      <c r="D2" s="2" t="s">
        <v>120</v>
      </c>
    </row>
    <row r="3" ht="72" spans="1:4">
      <c r="A3" s="2" t="s">
        <v>117</v>
      </c>
      <c r="B3" s="2" t="s">
        <v>121</v>
      </c>
      <c r="C3" s="2" t="s">
        <v>122</v>
      </c>
      <c r="D3" s="2" t="s">
        <v>123</v>
      </c>
    </row>
    <row r="4" spans="1:4">
      <c r="A4" s="2" t="s">
        <v>105</v>
      </c>
      <c r="B4" s="2" t="s">
        <v>124</v>
      </c>
      <c r="C4" s="2" t="s">
        <v>125</v>
      </c>
      <c r="D4" s="2" t="s">
        <v>126</v>
      </c>
    </row>
    <row r="5" ht="57.6" spans="1:4">
      <c r="A5" s="2" t="s">
        <v>127</v>
      </c>
      <c r="B5" s="2" t="s">
        <v>128</v>
      </c>
      <c r="C5" s="2" t="s">
        <v>129</v>
      </c>
      <c r="D5" s="2" t="s">
        <v>130</v>
      </c>
    </row>
    <row r="8" spans="1:4">
      <c r="A8" s="1" t="s">
        <v>131</v>
      </c>
      <c r="B8" s="1" t="s">
        <v>132</v>
      </c>
    </row>
    <row r="9" ht="28.8" spans="1:4">
      <c r="A9" s="2" t="s">
        <v>133</v>
      </c>
      <c r="B9" s="2" t="s">
        <v>134</v>
      </c>
    </row>
    <row r="10" spans="1:4">
      <c r="A10" s="2" t="s">
        <v>135</v>
      </c>
      <c r="B10" s="2" t="s">
        <v>136</v>
      </c>
    </row>
    <row r="11" ht="28.8" spans="1:4">
      <c r="A11" s="2" t="s">
        <v>137</v>
      </c>
      <c r="B11" s="2" t="s">
        <v>138</v>
      </c>
    </row>
    <row r="12" ht="28.8" spans="1:4">
      <c r="A12" s="2" t="s">
        <v>139</v>
      </c>
      <c r="B12" s="2" t="s">
        <v>140</v>
      </c>
    </row>
    <row r="13" ht="28.8" spans="1:4">
      <c r="A13" s="2" t="s">
        <v>141</v>
      </c>
      <c r="B13" s="2" t="s">
        <v>142</v>
      </c>
    </row>
    <row r="14" ht="28.8" spans="1:4">
      <c r="A14" s="2" t="s">
        <v>143</v>
      </c>
      <c r="B14" s="2" t="s">
        <v>144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Gantt Chart</vt:lpstr>
      <vt:lpstr>Task Details</vt:lpstr>
      <vt:lpstr>Milestones</vt:lpstr>
      <vt:lpstr>Deliverables</vt:lpstr>
      <vt:lpstr>Resource Allocation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AI-Lingo Gantt Chart</dc:title>
  <dc:subject>Project schedule from 8 October 2026 to 4 December 2026</dc:subject>
  <dc:creator>OpenAI</dc:creator>
  <cp:lastModifiedBy>dell</cp:lastModifiedBy>
  <dcterms:created xsi:type="dcterms:W3CDTF">2026-10-16T14:07:00Z</dcterms:created>
  <dcterms:modified xsi:type="dcterms:W3CDTF">2026-10-16T15:11:22Z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40D0B643A0524A029338DB9C722CBF63_13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